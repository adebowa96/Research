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umbers check" sheetId="1" state="visible" r:id="rId3"/>
    <sheet name="Screened-in studies" sheetId="2" state="visible" r:id="rId4"/>
    <sheet name="Background references" sheetId="3" state="visible" r:id="rId5"/>
  </sheets>
  <definedNames>
    <definedName function="false" hidden="true" localSheetId="1" name="_xlnm._FilterDatabase" vbProcedure="false">'Screened-in studies'!$A$4:$W$65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<sst xmlns="http://schemas.openxmlformats.org/spreadsheetml/2006/main" count="573" uniqueCount="266">
  <si>
    <t xml:space="preserve">MRKH scoping review: which numbers are real</t>
  </si>
  <si>
    <t xml:space="preserve">Checked against the March 29–30, 2026 chats where the search results were screened. Pink = estimate or unknown source, green = real count.</t>
  </si>
  <si>
    <t xml:space="preserve">Step</t>
  </si>
  <si>
    <t xml:space="preserve">In your abstract</t>
  </si>
  <si>
    <t xml:space="preserve">Status</t>
  </si>
  <si>
    <t xml:space="preserve">Where it came from</t>
  </si>
  <si>
    <t xml:space="preserve">What to do before APHA</t>
  </si>
  <si>
    <t xml:space="preserve">Records identified</t>
  </si>
  <si>
    <t xml:space="preserve">Real count</t>
  </si>
  <si>
    <t xml:space="preserve">Sum of your four exports (see the database table below).</t>
  </si>
  <si>
    <t xml:space="preserve">Keep.</t>
  </si>
  <si>
    <t xml:space="preserve">Duplicates removed</t>
  </si>
  <si>
    <t xml:space="preserve">Estimate</t>
  </si>
  <si>
    <t xml:space="preserve">516 minus 361.</t>
  </si>
  <si>
    <t xml:space="preserve">Deduplicate the four exports in Zotero, EndNote or Rayyan and record the real number.</t>
  </si>
  <si>
    <t xml:space="preserve">Records screened after deduplication</t>
  </si>
  <si>
    <t xml:space="preserve">Calculated in the March 29 chat as 70% of 516 (an assumed 30% overlap). No deduplication was ever run.</t>
  </si>
  <si>
    <t xml:space="preserve">Replace with the real deduplicated count.</t>
  </si>
  <si>
    <t xml:space="preserve">Studies included</t>
  </si>
  <si>
    <t xml:space="preserve">"About 45" (itself an estimate) minus the 11 studies removed on March 30. The screened-in lists actually hold 61 unique studies (see live counts below).</t>
  </si>
  <si>
    <t xml:space="preserve">Finish full-text checks in the tracker; the final count is the number of rows marked Include.</t>
  </si>
  <si>
    <t xml:space="preserve">Domain counts: 26, 22, 19, 17, 21, 18</t>
  </si>
  <si>
    <t xml:space="preserve">26 / 22 / 19 / 17 / 21 / 18</t>
  </si>
  <si>
    <t xml:space="preserve">Source not found</t>
  </si>
  <si>
    <t xml:space="preserve">First appear in the abstract file you brought to Claude on March 30. No charting of the included studies exists in our chats.</t>
  </si>
  <si>
    <t xml:space="preserve">Mark each included study in the six domain columns; the counts below update automatically.</t>
  </si>
  <si>
    <t xml:space="preserve">Records in each export (read from your files in the March 29 chat)</t>
  </si>
  <si>
    <t xml:space="preserve">PubMed/MEDLINE</t>
  </si>
  <si>
    <t xml:space="preserve">Record count of the export file</t>
  </si>
  <si>
    <t xml:space="preserve">Scopus</t>
  </si>
  <si>
    <t xml:space="preserve">PsycINFO (EBSCO)</t>
  </si>
  <si>
    <t xml:space="preserve">CINAHL (EBSCO)</t>
  </si>
  <si>
    <t xml:space="preserve">Total identified</t>
  </si>
  <si>
    <t xml:space="preserve">Live counts from the tracker</t>
  </si>
  <si>
    <t xml:space="preserve">Unique studies screened in across the four databases</t>
  </si>
  <si>
    <t xml:space="preserve">Titles matched by hand across the four March lists</t>
  </si>
  <si>
    <t xml:space="preserve">Removed on the March 30 re-check</t>
  </si>
  <si>
    <t xml:space="preserve">Case reports, French-language papers, mixed populations, one editorial</t>
  </si>
  <si>
    <t xml:space="preserve">Kept after March 30</t>
  </si>
  <si>
    <t xml:space="preserve">   of which reviews or commentary (outside your primary-research criterion)</t>
  </si>
  <si>
    <t xml:space="preserve">   of which need another check (language, mixed sample, conference paper, etc.)</t>
  </si>
  <si>
    <t xml:space="preserve">Final included (your decisions in the tracker)</t>
  </si>
  <si>
    <t xml:space="preserve">Starts at 0 and fills in as you mark studies Include</t>
  </si>
  <si>
    <t xml:space="preserve">Domain counts among included studies</t>
  </si>
  <si>
    <t xml:space="preserve">Domain</t>
  </si>
  <si>
    <t xml:space="preserve">Studies (n)</t>
  </si>
  <si>
    <t xml:space="preserve">% of included</t>
  </si>
  <si>
    <t xml:space="preserve">Depression / anxiety</t>
  </si>
  <si>
    <t xml:space="preserve">QoL / body image</t>
  </si>
  <si>
    <t xml:space="preserve">Psychosexual / relational</t>
  </si>
  <si>
    <t xml:space="preserve">Psychological distress</t>
  </si>
  <si>
    <t xml:space="preserve">Coping mechanisms</t>
  </si>
  <si>
    <t xml:space="preserve">Healthcare system gaps</t>
  </si>
  <si>
    <t xml:space="preserve">How to use the tracker</t>
  </si>
  <si>
    <t xml:space="preserve">1. Open the "Screened-in studies" tab. Only the yellow columns (M to W) are for you to fill in; the grey columns record what was decided in March.</t>
  </si>
  <si>
    <t xml:space="preserve">2. For each study: read the full text, put Y in "Full text checked", choose Include or Exclude, and give a reason if excluded.</t>
  </si>
  <si>
    <t xml:space="preserve">3. For every Include, put Y under each domain the study reports. The domain counts above then give your real n values.</t>
  </si>
  <si>
    <t xml:space="preserve">4. Start with the red "Check before counting" notes: reviews and commentary fall outside your primary-research criterion.</t>
  </si>
  <si>
    <t xml:space="preserve">5. Example row (format only, not a real study): Full text checked = Y · Final decision = Include · Country = Denmark · Study design = Qualitative interviews · QoL / body image = Y · Coping mechanisms = Y</t>
  </si>
  <si>
    <t xml:space="preserve">MRKH scoping review: studies screened in from your four database exports (March 29, 2026)</t>
  </si>
  <si>
    <t xml:space="preserve">Grey columns come from the March screening. Yellow columns are yours to fill in after reading each full text. Titles are as recorded in that screening (shortened); confirm exact titles and citations from your exports.</t>
  </si>
  <si>
    <t xml:space="preserve">#</t>
  </si>
  <si>
    <t xml:space="preserve">Title (as recorded in March screening)</t>
  </si>
  <si>
    <t xml:space="preserve">Year</t>
  </si>
  <si>
    <t xml:space="preserve">PubMed</t>
  </si>
  <si>
    <t xml:space="preserve">PsycINFO</t>
  </si>
  <si>
    <t xml:space="preserve">CINAHL</t>
  </si>
  <si>
    <t xml:space="preserve">Found in (n)</t>
  </si>
  <si>
    <t xml:space="preserve">March status</t>
  </si>
  <si>
    <t xml:space="preserve">March notes</t>
  </si>
  <si>
    <t xml:space="preserve">Check before counting</t>
  </si>
  <si>
    <t xml:space="preserve">Background ref #</t>
  </si>
  <si>
    <t xml:space="preserve">Full text checked (Y/N)</t>
  </si>
  <si>
    <t xml:space="preserve">Final decision (Include/Exclude)</t>
  </si>
  <si>
    <t xml:space="preserve">Reason if excluded</t>
  </si>
  <si>
    <t xml:space="preserve">Country</t>
  </si>
  <si>
    <t xml:space="preserve">Study design</t>
  </si>
  <si>
    <t xml:space="preserve">Psychological impact of neovagina creation and uterus transplantation in MRKH: a narrative review</t>
  </si>
  <si>
    <t xml:space="preserve">2024</t>
  </si>
  <si>
    <t xml:space="preserve">Y</t>
  </si>
  <si>
    <t xml:space="preserve">Kept after 30 Mar re-check</t>
  </si>
  <si>
    <t xml:space="preserve">Review</t>
  </si>
  <si>
    <t xml:space="preserve">Review article: your criteria include primary studies only</t>
  </si>
  <si>
    <t xml:space="preserve">The need to integrate mental health treatment into the care of MRKH</t>
  </si>
  <si>
    <t xml:space="preserve">2025</t>
  </si>
  <si>
    <t xml:space="preserve">Short survey. Davoudian &amp; Hills, F S Rep</t>
  </si>
  <si>
    <t xml:space="preserve">Commentary-type article, not primary research</t>
  </si>
  <si>
    <t xml:space="preserve">9</t>
  </si>
  <si>
    <t xml:space="preserve">Self-esteem, depression, anxiety and sexual function in MRKH with neovagina</t>
  </si>
  <si>
    <t xml:space="preserve">Psychological correlates of sexual self-esteem in young women with MRKH</t>
  </si>
  <si>
    <t xml:space="preserve">2022</t>
  </si>
  <si>
    <t xml:space="preserve">Study on depressive symptoms in patients with MRKH: 141 cases</t>
  </si>
  <si>
    <t xml:space="preserve">2020</t>
  </si>
  <si>
    <t xml:space="preserve">Prevalence of anxiety and depression in women with MRKH in Malaysia</t>
  </si>
  <si>
    <t xml:space="preserve">CINAHL lists 2026</t>
  </si>
  <si>
    <t xml:space="preserve">Sexual function and quality of life after neovagina creation in MRKH</t>
  </si>
  <si>
    <t xml:space="preserve">Sexual experience before treatment for vaginal agenesis</t>
  </si>
  <si>
    <t xml:space="preserve">2019</t>
  </si>
  <si>
    <t xml:space="preserve">Confirmed 30 Mar: 137 women, most with MRKH</t>
  </si>
  <si>
    <t xml:space="preserve">Evaluation of sexual function outcomes in Rokitansky syndrome: systematic review</t>
  </si>
  <si>
    <t xml:space="preserve">2023</t>
  </si>
  <si>
    <t xml:space="preserve">Sexual and psychosocial outcome after neovaginoplasty in MRKH: case-control study</t>
  </si>
  <si>
    <t xml:space="preserve">Note. Scopus lists it as a Note</t>
  </si>
  <si>
    <t xml:space="preserve">Psychological and emotional profiles of Australian uterine transplant potential recipients</t>
  </si>
  <si>
    <t xml:space="preserve">Confirmed 30 Mar: MRKH is the main indication</t>
  </si>
  <si>
    <t xml:space="preserve">Psychiatric aspects of differences of sex development</t>
  </si>
  <si>
    <t xml:space="preserve">Note</t>
  </si>
  <si>
    <t xml:space="preserve">DSD broadly: confirm MRKH findings are reported separately and that it is primary research</t>
  </si>
  <si>
    <t xml:space="preserve">Long-term results of sexual function and body image after vaginoplasty in MRKH</t>
  </si>
  <si>
    <t xml:space="preserve">International experiences with vaginal lengthening in Müllerian agenesis: mixed-methods study</t>
  </si>
  <si>
    <t xml:space="preserve">"Don't give up, advocate for yourself": healthcare experiences of people with MRKH</t>
  </si>
  <si>
    <t xml:space="preserve">Marshall et al., J Pediatr Adolesc Gynecol</t>
  </si>
  <si>
    <t xml:space="preserve">8</t>
  </si>
  <si>
    <t xml:space="preserve">How does the experience of medical encounters with MRKH impact women in Africa?</t>
  </si>
  <si>
    <t xml:space="preserve">Impact of MRKH syndrome on psychology, quality of life, and sexual life: systematic review</t>
  </si>
  <si>
    <t xml:space="preserve">Review. Tsarna et al., Children (Basel)</t>
  </si>
  <si>
    <t xml:space="preserve">2</t>
  </si>
  <si>
    <t xml:space="preserve">Experiences of vaginal lengthening treatment and sexual well-being in MRKH: interview study</t>
  </si>
  <si>
    <t xml:space="preserve">Jensen et al., BJOG</t>
  </si>
  <si>
    <t xml:space="preserve">5</t>
  </si>
  <si>
    <t xml:space="preserve">Low self-esteem of women with MRKH</t>
  </si>
  <si>
    <t xml:space="preserve">Psychosexual education on sexual function and genital self-image in Rokitansky syndrome: RCT</t>
  </si>
  <si>
    <t xml:space="preserve">A life course perspective on MRKH: women's experiences and negotiations</t>
  </si>
  <si>
    <t xml:space="preserve">Jensen et al., Disabil Rehabil</t>
  </si>
  <si>
    <t xml:space="preserve">4</t>
  </si>
  <si>
    <t xml:space="preserve">Issues of identity, perceptions and isolation in MRKH: interpretative phenomenological analysis</t>
  </si>
  <si>
    <t xml:space="preserve">Gilfillan &amp; Carter, J Health Psychol</t>
  </si>
  <si>
    <t xml:space="preserve">6</t>
  </si>
  <si>
    <t xml:space="preserve">Psychological evaluation of candidates for uterus transplantation (French trial)</t>
  </si>
  <si>
    <t xml:space="preserve">Confirmed 30 Mar: all participants have MRKH</t>
  </si>
  <si>
    <t xml:space="preserve">Effectiveness of non-surgical interventions to improve health and well-being in women with MRKH</t>
  </si>
  <si>
    <t xml:space="preserve">"I felt like a woman": phenomenological study of disease-related experiences in MRKH</t>
  </si>
  <si>
    <t xml:space="preserve">Güner et al., J Health Psychol</t>
  </si>
  <si>
    <t xml:space="preserve">7</t>
  </si>
  <si>
    <t xml:space="preserve">From engulfment to enrichment: illness representations, self-concept and adjustment in MRKH</t>
  </si>
  <si>
    <t xml:space="preserve">Urogynecological and sexual functions after Vecchietti surgery</t>
  </si>
  <si>
    <t xml:space="preserve">Screened in from Scopus; the CINAHL copy was excluded as mainly surgical</t>
  </si>
  <si>
    <t xml:space="preserve">Conflicting March decisions: decide include or exclude</t>
  </si>
  <si>
    <t xml:space="preserve">Sexual, relational and psychological functioning in male partners of women with MRKH</t>
  </si>
  <si>
    <t xml:space="preserve">Participants are male partners, not people with MRKH: check against your population criterion</t>
  </si>
  <si>
    <t xml:space="preserve">Perception of having children through surrogacy among individuals with MRKH in Vietnam</t>
  </si>
  <si>
    <t xml:space="preserve">Psychological and personality assessment in candidates for uterus transplantation</t>
  </si>
  <si>
    <t xml:space="preserve">Transplant candidates: confirm MRKH results are reported separately</t>
  </si>
  <si>
    <t xml:space="preserve">The sexuality of adolescents and young women with MRKH: qualitative study</t>
  </si>
  <si>
    <t xml:space="preserve">2021</t>
  </si>
  <si>
    <t xml:space="preserve">From avoidance to empowerment: coping strategies in MRKH after McIndoe reconstruction</t>
  </si>
  <si>
    <t xml:space="preserve">CINAHL lists 2026; Güner et al. (not verified in March)</t>
  </si>
  <si>
    <t xml:space="preserve">Understanding the impact of MRKH on sexual wellbeing: qualitative study</t>
  </si>
  <si>
    <t xml:space="preserve">2026</t>
  </si>
  <si>
    <t xml:space="preserve">Illness experience and (unmet) needs of women with MRKH: qualitative analysis of an online forum</t>
  </si>
  <si>
    <t xml:space="preserve">PsycINFO lists 2024</t>
  </si>
  <si>
    <t xml:space="preserve">Sexuality in women with MRKH</t>
  </si>
  <si>
    <t xml:space="preserve">CINAHL record marked Czech</t>
  </si>
  <si>
    <t xml:space="preserve">Check language (English-only criterion)</t>
  </si>
  <si>
    <t xml:space="preserve">Burden of MRKH: effect of an intervention to support surgical neovaginal placement (Belastung von Betroffenen mit MRKH-Syndrom)</t>
  </si>
  <si>
    <t xml:space="preserve">German title in PsycINFO</t>
  </si>
  <si>
    <t xml:space="preserve">Sexual satisfaction in MRKH after surgical and non-surgical techniques: systematic review</t>
  </si>
  <si>
    <t xml:space="preserve">Psychiatric comorbidities in women with complete androgen insensitivity syndrome or Müllerian duct aplasia</t>
  </si>
  <si>
    <t xml:space="preserve">Mixed CAIS and MRKH sample: confirm MRKH results are reported separately</t>
  </si>
  <si>
    <t xml:space="preserve">Long-term mental and physical condition, quality of life and sexuality after laparoscopic neovagina creation in MRKH</t>
  </si>
  <si>
    <t xml:space="preserve">The missing uterus, missed diagnosis, missing care: MRKH in women in Malaysia</t>
  </si>
  <si>
    <t xml:space="preserve">Conference paper</t>
  </si>
  <si>
    <t xml:space="preserve">Conference paper: confirm it is a peer-reviewed full paper</t>
  </si>
  <si>
    <t xml:space="preserve">Psychological impact and health-related quality of life outcomes of MRKH: systematic review</t>
  </si>
  <si>
    <t xml:space="preserve">Psychological intervention in MRKH after artificial vaginoplasty: prospective study</t>
  </si>
  <si>
    <t xml:space="preserve">Anxiety symptoms in MRKH: cross-sectional study</t>
  </si>
  <si>
    <t xml:space="preserve">Sexual functioning, sexual esteem, genital self-image and psychological and relational functioning in MRKH: case-control study</t>
  </si>
  <si>
    <t xml:space="preserve">Weijenborg et al., Hum Reprod</t>
  </si>
  <si>
    <t xml:space="preserve">3</t>
  </si>
  <si>
    <t xml:space="preserve">Sexuality and quality of life of patients operated for Rokitansky-Mayer-Küster-Hauser syndrome</t>
  </si>
  <si>
    <t xml:space="preserve">"It was supposed to be a secret": disclosure and stigma in DSD</t>
  </si>
  <si>
    <t xml:space="preserve">Confirmed 30 Mar: MRKH quotes reported separately</t>
  </si>
  <si>
    <t xml:space="preserve">Understanding the diagnostic odyssey of women with MRKH in Denmark: qualitative study</t>
  </si>
  <si>
    <t xml:space="preserve">Found in PubMed only</t>
  </si>
  <si>
    <t xml:space="preserve">Sexual health and sexual well-being of women with MRKH: qualitative study</t>
  </si>
  <si>
    <t xml:space="preserve">MRKH syndrome and psychiatric conditions: toward the importance of psychiatric care</t>
  </si>
  <si>
    <t xml:space="preserve">Psychosomatics; confirmed 30 Mar as primary cross-sectional data</t>
  </si>
  <si>
    <t xml:space="preserve">Perspectives of 281 patients with MRKH on uterus transplantation</t>
  </si>
  <si>
    <t xml:space="preserve">Confirmed 30 Mar: all 281 participants have MRKH</t>
  </si>
  <si>
    <t xml:space="preserve">Case report: from absolute uterine factor infertility to motherhood, psychosocial assessment in uterus transplantation</t>
  </si>
  <si>
    <t xml:space="preserve">Removed 30 Mar</t>
  </si>
  <si>
    <t xml:space="preserve">Case report. Single case report</t>
  </si>
  <si>
    <t xml:space="preserve">Exclude</t>
  </si>
  <si>
    <t xml:space="preserve">Single case report</t>
  </si>
  <si>
    <t xml:space="preserve">Vaginal agenesis in MRKH: integrating surgical technique with long-term psychosexual support</t>
  </si>
  <si>
    <t xml:space="preserve">Case report. BMJ Case Report</t>
  </si>
  <si>
    <t xml:space="preserve">BMJ Case Report</t>
  </si>
  <si>
    <t xml:space="preserve">Absence of internal female organs: issues for sexual identity (Absence des organes génitaux internes)</t>
  </si>
  <si>
    <t xml:space="preserve">French language</t>
  </si>
  <si>
    <t xml:space="preserve">Troublesome feminine: weight gain after utero-vaginal agenesis diagnosis (Quand le féminin est mis à mal)</t>
  </si>
  <si>
    <t xml:space="preserve">Du corps sexué incomplet: identity reconstruction after uterovaginal agenesis</t>
  </si>
  <si>
    <t xml:space="preserve">Uterus transplantation: self-image over a 5-year period after transplantation</t>
  </si>
  <si>
    <t xml:space="preserve">Mixed population; MRKH results not separable</t>
  </si>
  <si>
    <t xml:space="preserve">Psychological well-being of women with uterine infertility before uterus transplantation</t>
  </si>
  <si>
    <t xml:space="preserve">Mixed MRKH and hysterectomy; not separable</t>
  </si>
  <si>
    <t xml:space="preserve">HIV infection in a woman with MRKH: psychological impact</t>
  </si>
  <si>
    <t xml:space="preserve">Intersex people's experiences of medical interventions, sex education and physical health</t>
  </si>
  <si>
    <t xml:space="preserve">MRKH not separately identifiable</t>
  </si>
  <si>
    <t xml:space="preserve">Understanding sexual health concerns among adolescents with DSD</t>
  </si>
  <si>
    <t xml:space="preserve">MRKH data not separable</t>
  </si>
  <si>
    <t xml:space="preserve">Rare health condition 27: MRKH and the role of support groups</t>
  </si>
  <si>
    <t xml:space="preserve">Editorial/educational overview, not primary research</t>
  </si>
  <si>
    <t xml:space="preserve">Background references verified in the March 2026 chat (AMA style)</t>
  </si>
  <si>
    <t xml:space="preserve">Each was checked against PubMed or the publisher in March 2026. They were not re-checked on Sept 29 because PubMed rate-limited the requests. Italicize journal names when you paste them into Word.</t>
  </si>
  <si>
    <t xml:space="preserve">AMA citation</t>
  </si>
  <si>
    <t xml:space="preserve">DOI</t>
  </si>
  <si>
    <t xml:space="preserve">PMID</t>
  </si>
  <si>
    <t xml:space="preserve">Used for</t>
  </si>
  <si>
    <t xml:space="preserve">Herlin MK, Petersen MB, Brännström M. Mayer-Rokitansky-Küster-Hauser (MRKH) syndrome: a comprehensive update. Orphanet J Rare Dis. 2020;15(1):214. doi:10.1186/s13023-020-01491-9</t>
  </si>
  <si>
    <t xml:space="preserve">10.1186/s13023-020-01491-9</t>
  </si>
  <si>
    <t xml:space="preserve">32819397</t>
  </si>
  <si>
    <t xml:space="preserve">Background: prevalence, clinical features</t>
  </si>
  <si>
    <t xml:space="preserve">Tsarna E, Eleftheriades A, Eleftheriades M, Kalampokas E, Liakopoulou MK, Christopoulos P. The impact of Mayer-Rokitansky-Küster-Hauser syndrome on psychology, quality of life, and sexual life of patients: a systematic review. Children (Basel). 2022;9(4):484. doi:10.3390/children9040484</t>
  </si>
  <si>
    <t xml:space="preserve">10.3390/children9040484</t>
  </si>
  <si>
    <t xml:space="preserve">35455528</t>
  </si>
  <si>
    <t xml:space="preserve">Background: psychological burden</t>
  </si>
  <si>
    <t xml:space="preserve">Also in the tracker (#17), flagged as a review</t>
  </si>
  <si>
    <t xml:space="preserve">Weijenborg PTM, Kluivers KB, Dessens AB, Kate-Booij MJ, Both S. Sexual functioning, sexual esteem, genital self-image and psychological and relational functioning in women with Mayer-Rokitansky-Küster-Hauser syndrome: a case-control study. Hum Reprod. 2019;34(9):1661-1673. doi:10.1093/humrep/dez130</t>
  </si>
  <si>
    <t xml:space="preserve">10.1093/humrep/dez130</t>
  </si>
  <si>
    <t xml:space="preserve">31418785</t>
  </si>
  <si>
    <t xml:space="preserve">Psychosexual and relational outcomes</t>
  </si>
  <si>
    <t xml:space="preserve">Also in the tracker (#44)</t>
  </si>
  <si>
    <t xml:space="preserve">Jensen AH, Herlin MK, Vogel I, et al. A life course perspective on Mayer-Rokitansky-Küster-Hauser syndrome: women's experiences and negotiations of living with an underdeveloped uterus and vagina. Disabil Rehabil. 2024;46:1130-1140. doi:10.1080/09638288.2023.2194463</t>
  </si>
  <si>
    <t xml:space="preserve">10.1080/09638288.2023.2194463</t>
  </si>
  <si>
    <t xml:space="preserve">Coping and adaptation</t>
  </si>
  <si>
    <t xml:space="preserve">Add the issue number and PMID. Also in the tracker (#21)</t>
  </si>
  <si>
    <t xml:space="preserve">Jensen AH, Lou S, Vogel I, Trolle B, Herlin MK. Experiences of vaginal lengthening treatment and sexual wellbeing in women with Mayer-Rokitansky-Küster-Hauser (MRKH) syndrome: an interview study. BJOG. 2024. doi:10.1111/1471-0528.17912</t>
  </si>
  <si>
    <t xml:space="preserve">10.1111/1471-0528.17912</t>
  </si>
  <si>
    <t xml:space="preserve">39039723</t>
  </si>
  <si>
    <t xml:space="preserve">Sexual well-being, treatment experience</t>
  </si>
  <si>
    <t xml:space="preserve">Was online-ahead-of-print: add volume and pages. Also in the tracker (#18)</t>
  </si>
  <si>
    <t xml:space="preserve">Gilfillan R, Carter P. Issues of identity, perceptions and isolation: an interpretative phenomenological analysis of women's experience of Mayer-Rokitansky-Küster-Hauser (MRKH) syndrome. J Health Psychol. 2024;29(3):200-212. doi:10.1177/13591053231199253</t>
  </si>
  <si>
    <t xml:space="preserve">10.1177/13591053231199253</t>
  </si>
  <si>
    <t xml:space="preserve">37771134</t>
  </si>
  <si>
    <t xml:space="preserve">Identity, isolation, coping</t>
  </si>
  <si>
    <t xml:space="preserve">Also in the tracker (#22)</t>
  </si>
  <si>
    <t xml:space="preserve">Güner P, Ulukaya T, Pehlivan Sarıbudak T. "I felt like a woman": a phenomenological qualitative study of disease-related experiences in Mayer-Rokitansky-Küster-Hauser syndrome (MRKH syndrome). J Health Psychol. 2025;30(11):3137-3152. doi:10.1177/13591053241305941</t>
  </si>
  <si>
    <t xml:space="preserve">10.1177/13591053241305941</t>
  </si>
  <si>
    <t xml:space="preserve">40955819</t>
  </si>
  <si>
    <t xml:space="preserve">Emotional, cognitive and spiritual coping</t>
  </si>
  <si>
    <t xml:space="preserve">Also in the tracker (#25)</t>
  </si>
  <si>
    <t xml:space="preserve">Marshall N, Rajesh Z, Hunker K, et al. "Don't give up, advocate for yourself": a pilot study examining healthcare experiences of people with Mayer Rokitansky Küster Hauser syndrome. J Pediatr Adolesc Gynecol. 2025;38(2):167-173. doi:10.1016/j.jpag.2024.12.001</t>
  </si>
  <si>
    <t xml:space="preserve">10.1016/j.jpag.2024.12.001</t>
  </si>
  <si>
    <t xml:space="preserve">39653110</t>
  </si>
  <si>
    <t xml:space="preserve">Also in the tracker (#15)</t>
  </si>
  <si>
    <t xml:space="preserve">Davoudian T, Hills E. The need to integrate mental health treatment into the care of Mayer-Rokitansky-Küster-Hauser. F S Rep. 2025;6(2):116-119. doi:10.1016/j.xfre.2025.03.008</t>
  </si>
  <si>
    <t xml:space="preserve">10.1016/j.xfre.2025.03.008</t>
  </si>
  <si>
    <t xml:space="preserve">40620385</t>
  </si>
  <si>
    <t xml:space="preserve">Mental health integration in care</t>
  </si>
  <si>
    <t xml:space="preserve">Also in the tracker (#2), flagged as commentary</t>
  </si>
  <si>
    <t xml:space="preserve">American College of Obstetricians and Gynecologists. Committee Opinion No. 728: Müllerian agenesis: diagnosis, management, and treatment. Obstet Gynecol. 2018;131(1):e35-e42. doi:10.1097/AOG.0000000000002458</t>
  </si>
  <si>
    <t xml:space="preserve">10.1097/AOG.0000000000002458</t>
  </si>
  <si>
    <t xml:space="preserve">29266078</t>
  </si>
  <si>
    <t xml:space="preserve">Clinical guidance: counseling and peer support</t>
  </si>
  <si>
    <t xml:space="preserve">Arksey H, O'Malley L. Scoping studies: towards a methodological framework. Int J Soc Res Methodol. 2005;8(1):19-32. doi:10.1080/1364557032000119616</t>
  </si>
  <si>
    <t xml:space="preserve">10.1080/1364557032000119616</t>
  </si>
  <si>
    <t xml:space="preserve">Methods: scoping review framework</t>
  </si>
  <si>
    <t xml:space="preserve">Peters MDJ, Marnie C, Tricco AC, et al. Updated methodological guidance for the conduct of scoping reviews. JBI Evid Synth. 2020;18(10):2119-2126. doi:10.11124/JBIES-20-00167</t>
  </si>
  <si>
    <t xml:space="preserve">10.11124/JBIES-20-00167</t>
  </si>
  <si>
    <t xml:space="preserve">33038124</t>
  </si>
  <si>
    <t xml:space="preserve">Methods: JBI guidance</t>
  </si>
  <si>
    <t xml:space="preserve">Tricco AC, Lillie E, Zarin W, et al. PRISMA extension for scoping reviews (PRISMA-ScR): checklist and explanation. Ann Intern Med. 2018;169(7):467-473. doi:10.7326/M18-0850</t>
  </si>
  <si>
    <t xml:space="preserve">10.7326/M18-0850</t>
  </si>
  <si>
    <t xml:space="preserve">30178033</t>
  </si>
  <si>
    <t xml:space="preserve">Methods: reporting guideline</t>
  </si>
  <si>
    <t xml:space="preserve">Also named in your original draft but never verified in March: Song 2020, Chen 2020, Stepanow 2023, Lei 2024. Look these up in PubMed before citing them.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</si>
</sst>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A254E"/>
      <name val="Arial"/>
      <family val="0"/>
      <charset val="1"/>
    </font>
    <font>
      <i val="true"/>
      <sz val="10"/>
      <color rgb="FF4444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A6192E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A254E"/>
        <bgColor rgb="FF003300"/>
      </patternFill>
    </fill>
    <fill>
      <patternFill patternType="solid">
        <fgColor rgb="FFE4F1E8"/>
        <bgColor rgb="FFF2F2F2"/>
      </patternFill>
    </fill>
    <fill>
      <patternFill patternType="solid">
        <fgColor rgb="FFF8E4E7"/>
        <bgColor rgb="FFF2F2F2"/>
      </patternFill>
    </fill>
    <fill>
      <patternFill patternType="solid">
        <fgColor rgb="FFFFF7CC"/>
        <bgColor rgb="FFF2F2F2"/>
      </patternFill>
    </fill>
    <fill>
      <patternFill patternType="solid">
        <fgColor rgb="FFF2F2F2"/>
        <bgColor rgb="FFE4F1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A254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A6192E"/>
          <bgColor rgb="FF000000"/>
        </patternFill>
      </fill>
    </dxf>
    <dxf>
      <fill>
        <patternFill patternType="solid">
          <fgColor rgb="FFFFF7CC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CC"/>
      <rgbColor rgb="FFE4F1E8"/>
      <rgbColor rgb="FF660066"/>
      <rgbColor rgb="FFFF8080"/>
      <rgbColor rgb="FF0066CC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8E4E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A254E"/>
      <rgbColor rgb="FF339966"/>
      <rgbColor rgb="FF003300"/>
      <rgbColor rgb="FF333300"/>
      <rgbColor rgb="FFA6192E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52"/>
    <col collapsed="false" customWidth="true" hidden="false" outlineLevel="0" max="5" min="5" style="0" width="4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48" hidden="false" customHeight="true" outlineLevel="0" collapsed="false">
      <c r="A5" s="4" t="s">
        <v>7</v>
      </c>
      <c r="B5" s="5" t="n">
        <v>516</v>
      </c>
      <c r="C5" s="6" t="s">
        <v>8</v>
      </c>
      <c r="D5" s="5" t="s">
        <v>9</v>
      </c>
      <c r="E5" s="5" t="s">
        <v>10</v>
      </c>
    </row>
    <row r="6" customFormat="false" ht="48" hidden="false" customHeight="true" outlineLevel="0" collapsed="false">
      <c r="A6" s="4" t="s">
        <v>11</v>
      </c>
      <c r="B6" s="5" t="n">
        <v>155</v>
      </c>
      <c r="C6" s="7" t="s">
        <v>12</v>
      </c>
      <c r="D6" s="5" t="s">
        <v>13</v>
      </c>
      <c r="E6" s="5" t="s">
        <v>14</v>
      </c>
    </row>
    <row r="7" customFormat="false" ht="48" hidden="false" customHeight="true" outlineLevel="0" collapsed="false">
      <c r="A7" s="4" t="s">
        <v>15</v>
      </c>
      <c r="B7" s="5" t="n">
        <v>361</v>
      </c>
      <c r="C7" s="7" t="s">
        <v>12</v>
      </c>
      <c r="D7" s="5" t="s">
        <v>16</v>
      </c>
      <c r="E7" s="5" t="s">
        <v>17</v>
      </c>
    </row>
    <row r="8" customFormat="false" ht="48" hidden="false" customHeight="true" outlineLevel="0" collapsed="false">
      <c r="A8" s="4" t="s">
        <v>18</v>
      </c>
      <c r="B8" s="5" t="n">
        <v>34</v>
      </c>
      <c r="C8" s="7" t="s">
        <v>12</v>
      </c>
      <c r="D8" s="5" t="s">
        <v>19</v>
      </c>
      <c r="E8" s="5" t="s">
        <v>20</v>
      </c>
    </row>
    <row r="9" customFormat="false" ht="48" hidden="false" customHeight="true" outlineLevel="0" collapsed="false">
      <c r="A9" s="4" t="s">
        <v>21</v>
      </c>
      <c r="B9" s="5" t="s">
        <v>22</v>
      </c>
      <c r="C9" s="7" t="s">
        <v>23</v>
      </c>
      <c r="D9" s="5" t="s">
        <v>24</v>
      </c>
      <c r="E9" s="5" t="s">
        <v>25</v>
      </c>
    </row>
    <row r="12" customFormat="false" ht="15" hidden="false" customHeight="false" outlineLevel="0" collapsed="false">
      <c r="A12" s="8" t="s">
        <v>26</v>
      </c>
    </row>
    <row r="13" customFormat="false" ht="15" hidden="false" customHeight="false" outlineLevel="0" collapsed="false">
      <c r="A13" s="9" t="s">
        <v>27</v>
      </c>
      <c r="B13" s="10" t="n">
        <v>146</v>
      </c>
      <c r="C13" s="11" t="s">
        <v>28</v>
      </c>
    </row>
    <row r="14" customFormat="false" ht="15" hidden="false" customHeight="false" outlineLevel="0" collapsed="false">
      <c r="A14" s="9" t="s">
        <v>29</v>
      </c>
      <c r="B14" s="10" t="n">
        <v>143</v>
      </c>
      <c r="C14" s="11" t="s">
        <v>28</v>
      </c>
    </row>
    <row r="15" customFormat="false" ht="15" hidden="false" customHeight="false" outlineLevel="0" collapsed="false">
      <c r="A15" s="9" t="s">
        <v>30</v>
      </c>
      <c r="B15" s="10" t="n">
        <v>20</v>
      </c>
      <c r="C15" s="11" t="s">
        <v>28</v>
      </c>
    </row>
    <row r="16" customFormat="false" ht="15" hidden="false" customHeight="false" outlineLevel="0" collapsed="false">
      <c r="A16" s="9" t="s">
        <v>31</v>
      </c>
      <c r="B16" s="10" t="n">
        <v>207</v>
      </c>
      <c r="C16" s="11" t="s">
        <v>28</v>
      </c>
    </row>
    <row r="17" customFormat="false" ht="15" hidden="false" customHeight="false" outlineLevel="0" collapsed="false">
      <c r="A17" s="8" t="s">
        <v>32</v>
      </c>
      <c r="B17" s="8" t="n">
        <f aca="false">SUM(B13:B16)</f>
        <v>516</v>
      </c>
    </row>
    <row r="19" customFormat="false" ht="15" hidden="false" customHeight="false" outlineLevel="0" collapsed="false">
      <c r="A19" s="8" t="s">
        <v>33</v>
      </c>
    </row>
    <row r="20" customFormat="false" ht="35.05" hidden="false" customHeight="false" outlineLevel="0" collapsed="false">
      <c r="A20" s="9" t="s">
        <v>34</v>
      </c>
      <c r="B20" s="8" t="n">
        <f aca="false">COUNTA('Screened-in studies'!B5:B65)</f>
        <v>61</v>
      </c>
      <c r="C20" s="12" t="s">
        <v>35</v>
      </c>
    </row>
    <row r="21" customFormat="false" ht="57.45" hidden="false" customHeight="false" outlineLevel="0" collapsed="false">
      <c r="A21" s="9" t="s">
        <v>36</v>
      </c>
      <c r="B21" s="8" t="n">
        <f aca="false">COUNTIF('Screened-in studies'!I5:I65,"Removed*")</f>
        <v>11</v>
      </c>
      <c r="C21" s="12" t="s">
        <v>37</v>
      </c>
    </row>
    <row r="22" customFormat="false" ht="15" hidden="false" customHeight="false" outlineLevel="0" collapsed="false">
      <c r="A22" s="9" t="s">
        <v>38</v>
      </c>
      <c r="B22" s="8" t="n">
        <f aca="false">COUNTIF('Screened-in studies'!I5:I65,"Kept*")</f>
        <v>50</v>
      </c>
      <c r="C22" s="12"/>
    </row>
    <row r="23" customFormat="false" ht="15" hidden="false" customHeight="false" outlineLevel="0" collapsed="false">
      <c r="A23" s="9" t="s">
        <v>39</v>
      </c>
      <c r="B23" s="8" t="n">
        <f aca="false">COUNTIFS('Screened-in studies'!I5:I65,"Kept*",'Screened-in studies'!K5:K65,"Review*")+COUNTIFS('Screened-in studies'!I5:I65,"Kept*",'Screened-in studies'!K5:K65,"Commentary*")</f>
        <v>7</v>
      </c>
      <c r="C23" s="12"/>
    </row>
    <row r="24" customFormat="false" ht="15" hidden="false" customHeight="false" outlineLevel="0" collapsed="false">
      <c r="A24" s="9" t="s">
        <v>40</v>
      </c>
      <c r="B24" s="8" t="n">
        <f aca="false">COUNTIFS('Screened-in studies'!I5:I65,"Kept*",'Screened-in studies'!K5:K65,"&lt;&gt;")-B23</f>
        <v>8</v>
      </c>
      <c r="C24" s="12"/>
    </row>
    <row r="25" customFormat="false" ht="35.05" hidden="false" customHeight="false" outlineLevel="0" collapsed="false">
      <c r="A25" s="9" t="s">
        <v>41</v>
      </c>
      <c r="B25" s="8" t="n">
        <f aca="false">COUNTIF('Screened-in studies'!N5:N65,"Include")</f>
        <v>0</v>
      </c>
      <c r="C25" s="12" t="s">
        <v>42</v>
      </c>
    </row>
    <row r="27" customFormat="false" ht="15" hidden="false" customHeight="false" outlineLevel="0" collapsed="false">
      <c r="A27" s="8" t="s">
        <v>43</v>
      </c>
    </row>
    <row r="28" customFormat="false" ht="15" hidden="false" customHeight="false" outlineLevel="0" collapsed="false">
      <c r="A28" s="13" t="s">
        <v>44</v>
      </c>
      <c r="B28" s="13" t="s">
        <v>45</v>
      </c>
      <c r="C28" s="13" t="s">
        <v>46</v>
      </c>
    </row>
    <row r="29" customFormat="false" ht="15" hidden="false" customHeight="false" outlineLevel="0" collapsed="false">
      <c r="A29" s="14" t="s">
        <v>47</v>
      </c>
      <c r="B29" s="15" t="n">
        <f aca="false">COUNTIFS('Screened-in studies'!N5:N65,"Include",'Screened-in studies'!R5:R65,"Y")</f>
        <v>0</v>
      </c>
      <c r="C29" s="16" t="str">
        <f aca="false">IF($B$25=0,"",B29/$B$25)</f>
        <v/>
      </c>
    </row>
    <row r="30" customFormat="false" ht="15" hidden="false" customHeight="false" outlineLevel="0" collapsed="false">
      <c r="A30" s="14" t="s">
        <v>48</v>
      </c>
      <c r="B30" s="15" t="n">
        <f aca="false">COUNTIFS('Screened-in studies'!N5:N65,"Include",'Screened-in studies'!S5:S65,"Y")</f>
        <v>0</v>
      </c>
      <c r="C30" s="16" t="str">
        <f aca="false">IF($B$25=0,"",B30/$B$25)</f>
        <v/>
      </c>
    </row>
    <row r="31" customFormat="false" ht="15" hidden="false" customHeight="false" outlineLevel="0" collapsed="false">
      <c r="A31" s="14" t="s">
        <v>49</v>
      </c>
      <c r="B31" s="15" t="n">
        <f aca="false">COUNTIFS('Screened-in studies'!N5:N65,"Include",'Screened-in studies'!T5:T65,"Y")</f>
        <v>0</v>
      </c>
      <c r="C31" s="16" t="str">
        <f aca="false">IF($B$25=0,"",B31/$B$25)</f>
        <v/>
      </c>
    </row>
    <row r="32" customFormat="false" ht="15" hidden="false" customHeight="false" outlineLevel="0" collapsed="false">
      <c r="A32" s="14" t="s">
        <v>50</v>
      </c>
      <c r="B32" s="15" t="n">
        <f aca="false">COUNTIFS('Screened-in studies'!N5:N65,"Include",'Screened-in studies'!U5:U65,"Y")</f>
        <v>0</v>
      </c>
      <c r="C32" s="16" t="str">
        <f aca="false">IF($B$25=0,"",B32/$B$25)</f>
        <v/>
      </c>
    </row>
    <row r="33" customFormat="false" ht="15" hidden="false" customHeight="false" outlineLevel="0" collapsed="false">
      <c r="A33" s="14" t="s">
        <v>51</v>
      </c>
      <c r="B33" s="15" t="n">
        <f aca="false">COUNTIFS('Screened-in studies'!N5:N65,"Include",'Screened-in studies'!V5:V65,"Y")</f>
        <v>0</v>
      </c>
      <c r="C33" s="16" t="str">
        <f aca="false">IF($B$25=0,"",B33/$B$25)</f>
        <v/>
      </c>
    </row>
    <row r="34" customFormat="false" ht="15" hidden="false" customHeight="false" outlineLevel="0" collapsed="false">
      <c r="A34" s="14" t="s">
        <v>52</v>
      </c>
      <c r="B34" s="15" t="n">
        <f aca="false">COUNTIFS('Screened-in studies'!N5:N65,"Include",'Screened-in studies'!W5:W65,"Y")</f>
        <v>0</v>
      </c>
      <c r="C34" s="16" t="str">
        <f aca="false">IF($B$25=0,"",B34/$B$25)</f>
        <v/>
      </c>
    </row>
    <row r="36" customFormat="false" ht="15" hidden="false" customHeight="false" outlineLevel="0" collapsed="false">
      <c r="A36" s="8" t="s">
        <v>53</v>
      </c>
    </row>
    <row r="37" customFormat="false" ht="30" hidden="false" customHeight="true" outlineLevel="0" collapsed="false">
      <c r="A37" s="17" t="s">
        <v>54</v>
      </c>
      <c r="B37" s="17"/>
      <c r="C37" s="17"/>
      <c r="D37" s="17"/>
      <c r="E37" s="17"/>
    </row>
    <row r="38" customFormat="false" ht="30" hidden="false" customHeight="true" outlineLevel="0" collapsed="false">
      <c r="A38" s="17" t="s">
        <v>55</v>
      </c>
      <c r="B38" s="17"/>
      <c r="C38" s="17"/>
      <c r="D38" s="17"/>
      <c r="E38" s="17"/>
    </row>
    <row r="39" customFormat="false" ht="30" hidden="false" customHeight="true" outlineLevel="0" collapsed="false">
      <c r="A39" s="17" t="s">
        <v>56</v>
      </c>
      <c r="B39" s="17"/>
      <c r="C39" s="17"/>
      <c r="D39" s="17"/>
      <c r="E39" s="17"/>
    </row>
    <row r="40" customFormat="false" ht="30" hidden="false" customHeight="true" outlineLevel="0" collapsed="false">
      <c r="A40" s="17" t="s">
        <v>57</v>
      </c>
      <c r="B40" s="17"/>
      <c r="C40" s="17"/>
      <c r="D40" s="17"/>
      <c r="E40" s="17"/>
    </row>
    <row r="41" customFormat="false" ht="30" hidden="false" customHeight="true" outlineLevel="0" collapsed="false">
      <c r="A41" s="17" t="s">
        <v>58</v>
      </c>
      <c r="B41" s="17"/>
      <c r="C41" s="17"/>
      <c r="D41" s="17"/>
      <c r="E41" s="17"/>
    </row>
  </sheetData>
  <mergeCells count="6">
    <mergeCell ref="A2:E2"/>
    <mergeCell ref="A37:E37"/>
    <mergeCell ref="A38:E38"/>
    <mergeCell ref="A39:E39"/>
    <mergeCell ref="A40:E40"/>
    <mergeCell ref="A41:E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2"/>
    <col collapsed="false" customWidth="true" hidden="false" outlineLevel="0" max="3" min="3" style="0" width="6"/>
    <col collapsed="false" customWidth="true" hidden="false" outlineLevel="0" max="5" min="4" style="0" width="7"/>
    <col collapsed="false" customWidth="true" hidden="false" outlineLevel="0" max="6" min="6" style="0" width="8"/>
    <col collapsed="false" customWidth="true" hidden="false" outlineLevel="0" max="8" min="7" style="0" width="7"/>
    <col collapsed="false" customWidth="true" hidden="false" outlineLevel="0" max="9" min="9" style="0" width="15"/>
    <col collapsed="false" customWidth="true" hidden="false" outlineLevel="0" max="10" min="10" style="0" width="30"/>
    <col collapsed="false" customWidth="true" hidden="false" outlineLevel="0" max="11" min="11" style="0" width="34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22"/>
    <col collapsed="false" customWidth="true" hidden="false" outlineLevel="0" max="16" min="16" style="0" width="12"/>
    <col collapsed="false" customWidth="true" hidden="false" outlineLevel="0" max="17" min="17" style="0" width="16"/>
    <col collapsed="false" customWidth="true" hidden="false" outlineLevel="0" max="19" min="18" style="0" width="11"/>
    <col collapsed="false" customWidth="true" hidden="false" outlineLevel="0" max="20" min="20" style="0" width="12"/>
    <col collapsed="false" customWidth="true" hidden="false" outlineLevel="0" max="23" min="21" style="0" width="11"/>
  </cols>
  <sheetData>
    <row r="1" customFormat="false" ht="17.35" hidden="false" customHeight="false" outlineLevel="0" collapsed="false">
      <c r="A1" s="1" t="s">
        <v>59</v>
      </c>
    </row>
    <row r="2" customFormat="false" ht="30" hidden="false" customHeight="true" outlineLevel="0" collapsed="false">
      <c r="A2" s="18" t="s">
        <v>60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4" customFormat="false" ht="42" hidden="false" customHeight="true" outlineLevel="0" collapsed="false">
      <c r="A4" s="19" t="s">
        <v>61</v>
      </c>
      <c r="B4" s="19" t="s">
        <v>62</v>
      </c>
      <c r="C4" s="19" t="s">
        <v>63</v>
      </c>
      <c r="D4" s="19" t="s">
        <v>29</v>
      </c>
      <c r="E4" s="19" t="s">
        <v>64</v>
      </c>
      <c r="F4" s="19" t="s">
        <v>65</v>
      </c>
      <c r="G4" s="19" t="s">
        <v>66</v>
      </c>
      <c r="H4" s="19" t="s">
        <v>67</v>
      </c>
      <c r="I4" s="19" t="s">
        <v>68</v>
      </c>
      <c r="J4" s="19" t="s">
        <v>69</v>
      </c>
      <c r="K4" s="19" t="s">
        <v>70</v>
      </c>
      <c r="L4" s="19" t="s">
        <v>71</v>
      </c>
      <c r="M4" s="19" t="s">
        <v>72</v>
      </c>
      <c r="N4" s="19" t="s">
        <v>73</v>
      </c>
      <c r="O4" s="19" t="s">
        <v>74</v>
      </c>
      <c r="P4" s="19" t="s">
        <v>75</v>
      </c>
      <c r="Q4" s="19" t="s">
        <v>76</v>
      </c>
      <c r="R4" s="19" t="s">
        <v>47</v>
      </c>
      <c r="S4" s="19" t="s">
        <v>48</v>
      </c>
      <c r="T4" s="19" t="s">
        <v>49</v>
      </c>
      <c r="U4" s="19" t="s">
        <v>50</v>
      </c>
      <c r="V4" s="19" t="s">
        <v>51</v>
      </c>
      <c r="W4" s="19" t="s">
        <v>52</v>
      </c>
    </row>
    <row r="5" customFormat="false" ht="23.85" hidden="false" customHeight="false" outlineLevel="0" collapsed="false">
      <c r="A5" s="20" t="n">
        <v>1</v>
      </c>
      <c r="B5" s="5" t="s">
        <v>77</v>
      </c>
      <c r="C5" s="20" t="s">
        <v>78</v>
      </c>
      <c r="D5" s="20" t="s">
        <v>79</v>
      </c>
      <c r="E5" s="20" t="s">
        <v>79</v>
      </c>
      <c r="F5" s="20"/>
      <c r="G5" s="20" t="s">
        <v>79</v>
      </c>
      <c r="H5" s="20" t="n">
        <f aca="false">COUNTIF(D5:G5,"Y")</f>
        <v>3</v>
      </c>
      <c r="I5" s="5" t="s">
        <v>80</v>
      </c>
      <c r="J5" s="5" t="s">
        <v>81</v>
      </c>
      <c r="K5" s="21" t="s">
        <v>82</v>
      </c>
      <c r="L5" s="20"/>
      <c r="M5" s="22"/>
      <c r="N5" s="22"/>
      <c r="O5" s="23"/>
      <c r="P5" s="23"/>
      <c r="Q5" s="23"/>
      <c r="R5" s="22"/>
      <c r="S5" s="22"/>
      <c r="T5" s="22"/>
      <c r="U5" s="22"/>
      <c r="V5" s="22"/>
      <c r="W5" s="22"/>
    </row>
    <row r="6" customFormat="false" ht="23.85" hidden="false" customHeight="false" outlineLevel="0" collapsed="false">
      <c r="A6" s="20" t="n">
        <v>2</v>
      </c>
      <c r="B6" s="5" t="s">
        <v>83</v>
      </c>
      <c r="C6" s="20" t="s">
        <v>84</v>
      </c>
      <c r="D6" s="20" t="s">
        <v>79</v>
      </c>
      <c r="E6" s="20"/>
      <c r="F6" s="20"/>
      <c r="G6" s="20" t="s">
        <v>79</v>
      </c>
      <c r="H6" s="20" t="n">
        <f aca="false">COUNTIF(D6:G6,"Y")</f>
        <v>2</v>
      </c>
      <c r="I6" s="5" t="s">
        <v>80</v>
      </c>
      <c r="J6" s="5" t="s">
        <v>85</v>
      </c>
      <c r="K6" s="21" t="s">
        <v>86</v>
      </c>
      <c r="L6" s="20" t="s">
        <v>87</v>
      </c>
      <c r="M6" s="22"/>
      <c r="N6" s="22"/>
      <c r="O6" s="23"/>
      <c r="P6" s="23"/>
      <c r="Q6" s="23"/>
      <c r="R6" s="22"/>
      <c r="S6" s="22"/>
      <c r="T6" s="22"/>
      <c r="U6" s="22"/>
      <c r="V6" s="22"/>
      <c r="W6" s="22"/>
    </row>
    <row r="7" customFormat="false" ht="23.85" hidden="false" customHeight="false" outlineLevel="0" collapsed="false">
      <c r="A7" s="20" t="n">
        <v>3</v>
      </c>
      <c r="B7" s="5" t="s">
        <v>88</v>
      </c>
      <c r="C7" s="20" t="s">
        <v>78</v>
      </c>
      <c r="D7" s="20" t="s">
        <v>79</v>
      </c>
      <c r="E7" s="20" t="s">
        <v>79</v>
      </c>
      <c r="F7" s="20"/>
      <c r="G7" s="20" t="s">
        <v>79</v>
      </c>
      <c r="H7" s="20" t="n">
        <f aca="false">COUNTIF(D7:G7,"Y")</f>
        <v>3</v>
      </c>
      <c r="I7" s="5" t="s">
        <v>80</v>
      </c>
      <c r="J7" s="5"/>
      <c r="K7" s="21"/>
      <c r="L7" s="20"/>
      <c r="M7" s="22"/>
      <c r="N7" s="22"/>
      <c r="O7" s="23"/>
      <c r="P7" s="23"/>
      <c r="Q7" s="23"/>
      <c r="R7" s="22"/>
      <c r="S7" s="22"/>
      <c r="T7" s="22"/>
      <c r="U7" s="22"/>
      <c r="V7" s="22"/>
      <c r="W7" s="22"/>
    </row>
    <row r="8" customFormat="false" ht="23.85" hidden="false" customHeight="false" outlineLevel="0" collapsed="false">
      <c r="A8" s="20" t="n">
        <v>4</v>
      </c>
      <c r="B8" s="5" t="s">
        <v>89</v>
      </c>
      <c r="C8" s="20" t="s">
        <v>90</v>
      </c>
      <c r="D8" s="20" t="s">
        <v>79</v>
      </c>
      <c r="E8" s="20" t="s">
        <v>79</v>
      </c>
      <c r="F8" s="20" t="s">
        <v>79</v>
      </c>
      <c r="G8" s="20" t="s">
        <v>79</v>
      </c>
      <c r="H8" s="20" t="n">
        <f aca="false">COUNTIF(D8:G8,"Y")</f>
        <v>4</v>
      </c>
      <c r="I8" s="5" t="s">
        <v>80</v>
      </c>
      <c r="J8" s="5"/>
      <c r="K8" s="21"/>
      <c r="L8" s="20"/>
      <c r="M8" s="22"/>
      <c r="N8" s="22"/>
      <c r="O8" s="23"/>
      <c r="P8" s="23"/>
      <c r="Q8" s="23"/>
      <c r="R8" s="22"/>
      <c r="S8" s="22"/>
      <c r="T8" s="22"/>
      <c r="U8" s="22"/>
      <c r="V8" s="22"/>
      <c r="W8" s="22"/>
    </row>
    <row r="9" customFormat="false" ht="23.85" hidden="false" customHeight="false" outlineLevel="0" collapsed="false">
      <c r="A9" s="20" t="n">
        <v>5</v>
      </c>
      <c r="B9" s="5" t="s">
        <v>91</v>
      </c>
      <c r="C9" s="20" t="s">
        <v>92</v>
      </c>
      <c r="D9" s="20" t="s">
        <v>79</v>
      </c>
      <c r="E9" s="20"/>
      <c r="F9" s="20"/>
      <c r="G9" s="20" t="s">
        <v>79</v>
      </c>
      <c r="H9" s="20" t="n">
        <f aca="false">COUNTIF(D9:G9,"Y")</f>
        <v>2</v>
      </c>
      <c r="I9" s="5" t="s">
        <v>80</v>
      </c>
      <c r="J9" s="5"/>
      <c r="K9" s="21"/>
      <c r="L9" s="20"/>
      <c r="M9" s="22"/>
      <c r="N9" s="22"/>
      <c r="O9" s="23"/>
      <c r="P9" s="23"/>
      <c r="Q9" s="23"/>
      <c r="R9" s="22"/>
      <c r="S9" s="22"/>
      <c r="T9" s="22"/>
      <c r="U9" s="22"/>
      <c r="V9" s="22"/>
      <c r="W9" s="22"/>
    </row>
    <row r="10" customFormat="false" ht="23.85" hidden="false" customHeight="false" outlineLevel="0" collapsed="false">
      <c r="A10" s="20" t="n">
        <v>6</v>
      </c>
      <c r="B10" s="5" t="s">
        <v>93</v>
      </c>
      <c r="C10" s="20" t="s">
        <v>84</v>
      </c>
      <c r="D10" s="20" t="s">
        <v>79</v>
      </c>
      <c r="E10" s="20" t="s">
        <v>79</v>
      </c>
      <c r="F10" s="20"/>
      <c r="G10" s="20" t="s">
        <v>79</v>
      </c>
      <c r="H10" s="20" t="n">
        <f aca="false">COUNTIF(D10:G10,"Y")</f>
        <v>3</v>
      </c>
      <c r="I10" s="5" t="s">
        <v>80</v>
      </c>
      <c r="J10" s="5" t="s">
        <v>94</v>
      </c>
      <c r="K10" s="21"/>
      <c r="L10" s="20"/>
      <c r="M10" s="22"/>
      <c r="N10" s="22"/>
      <c r="O10" s="23"/>
      <c r="P10" s="23"/>
      <c r="Q10" s="23"/>
      <c r="R10" s="22"/>
      <c r="S10" s="22"/>
      <c r="T10" s="22"/>
      <c r="U10" s="22"/>
      <c r="V10" s="22"/>
      <c r="W10" s="22"/>
    </row>
    <row r="11" customFormat="false" ht="23.85" hidden="false" customHeight="false" outlineLevel="0" collapsed="false">
      <c r="A11" s="20" t="n">
        <v>7</v>
      </c>
      <c r="B11" s="5" t="s">
        <v>95</v>
      </c>
      <c r="C11" s="20" t="s">
        <v>92</v>
      </c>
      <c r="D11" s="20" t="s">
        <v>79</v>
      </c>
      <c r="E11" s="20"/>
      <c r="F11" s="20"/>
      <c r="G11" s="20" t="s">
        <v>79</v>
      </c>
      <c r="H11" s="20" t="n">
        <f aca="false">COUNTIF(D11:G11,"Y")</f>
        <v>2</v>
      </c>
      <c r="I11" s="5" t="s">
        <v>80</v>
      </c>
      <c r="J11" s="5"/>
      <c r="K11" s="21"/>
      <c r="L11" s="20"/>
      <c r="M11" s="22"/>
      <c r="N11" s="22"/>
      <c r="O11" s="23"/>
      <c r="P11" s="23"/>
      <c r="Q11" s="23"/>
      <c r="R11" s="22"/>
      <c r="S11" s="22"/>
      <c r="T11" s="22"/>
      <c r="U11" s="22"/>
      <c r="V11" s="22"/>
      <c r="W11" s="22"/>
    </row>
    <row r="12" customFormat="false" ht="23.85" hidden="false" customHeight="false" outlineLevel="0" collapsed="false">
      <c r="A12" s="20" t="n">
        <v>8</v>
      </c>
      <c r="B12" s="5" t="s">
        <v>96</v>
      </c>
      <c r="C12" s="20" t="s">
        <v>97</v>
      </c>
      <c r="D12" s="20" t="s">
        <v>79</v>
      </c>
      <c r="E12" s="20"/>
      <c r="F12" s="20"/>
      <c r="G12" s="20" t="s">
        <v>79</v>
      </c>
      <c r="H12" s="20" t="n">
        <f aca="false">COUNTIF(D12:G12,"Y")</f>
        <v>2</v>
      </c>
      <c r="I12" s="5" t="s">
        <v>80</v>
      </c>
      <c r="J12" s="5" t="s">
        <v>98</v>
      </c>
      <c r="K12" s="21"/>
      <c r="L12" s="20"/>
      <c r="M12" s="22"/>
      <c r="N12" s="22"/>
      <c r="O12" s="23"/>
      <c r="P12" s="23"/>
      <c r="Q12" s="23"/>
      <c r="R12" s="22"/>
      <c r="S12" s="22"/>
      <c r="T12" s="22"/>
      <c r="U12" s="22"/>
      <c r="V12" s="22"/>
      <c r="W12" s="22"/>
    </row>
    <row r="13" customFormat="false" ht="23.85" hidden="false" customHeight="false" outlineLevel="0" collapsed="false">
      <c r="A13" s="20" t="n">
        <v>9</v>
      </c>
      <c r="B13" s="5" t="s">
        <v>99</v>
      </c>
      <c r="C13" s="20" t="s">
        <v>100</v>
      </c>
      <c r="D13" s="20" t="s">
        <v>79</v>
      </c>
      <c r="E13" s="20" t="s">
        <v>79</v>
      </c>
      <c r="F13" s="20"/>
      <c r="G13" s="20"/>
      <c r="H13" s="20" t="n">
        <f aca="false">COUNTIF(D13:G13,"Y")</f>
        <v>2</v>
      </c>
      <c r="I13" s="5" t="s">
        <v>80</v>
      </c>
      <c r="J13" s="5" t="s">
        <v>81</v>
      </c>
      <c r="K13" s="21" t="s">
        <v>82</v>
      </c>
      <c r="L13" s="20"/>
      <c r="M13" s="22"/>
      <c r="N13" s="22"/>
      <c r="O13" s="23"/>
      <c r="P13" s="23"/>
      <c r="Q13" s="23"/>
      <c r="R13" s="22"/>
      <c r="S13" s="22"/>
      <c r="T13" s="22"/>
      <c r="U13" s="22"/>
      <c r="V13" s="22"/>
      <c r="W13" s="22"/>
    </row>
    <row r="14" customFormat="false" ht="23.85" hidden="false" customHeight="false" outlineLevel="0" collapsed="false">
      <c r="A14" s="20" t="n">
        <v>10</v>
      </c>
      <c r="B14" s="5" t="s">
        <v>101</v>
      </c>
      <c r="C14" s="20" t="s">
        <v>90</v>
      </c>
      <c r="D14" s="20" t="s">
        <v>79</v>
      </c>
      <c r="E14" s="20" t="s">
        <v>79</v>
      </c>
      <c r="F14" s="20"/>
      <c r="G14" s="20" t="s">
        <v>79</v>
      </c>
      <c r="H14" s="20" t="n">
        <f aca="false">COUNTIF(D14:G14,"Y")</f>
        <v>3</v>
      </c>
      <c r="I14" s="5" t="s">
        <v>80</v>
      </c>
      <c r="J14" s="5" t="s">
        <v>102</v>
      </c>
      <c r="K14" s="21"/>
      <c r="L14" s="20"/>
      <c r="M14" s="22"/>
      <c r="N14" s="22"/>
      <c r="O14" s="23"/>
      <c r="P14" s="23"/>
      <c r="Q14" s="23"/>
      <c r="R14" s="22"/>
      <c r="S14" s="22"/>
      <c r="T14" s="22"/>
      <c r="U14" s="22"/>
      <c r="V14" s="22"/>
      <c r="W14" s="22"/>
    </row>
    <row r="15" customFormat="false" ht="23.85" hidden="false" customHeight="false" outlineLevel="0" collapsed="false">
      <c r="A15" s="20" t="n">
        <v>11</v>
      </c>
      <c r="B15" s="5" t="s">
        <v>103</v>
      </c>
      <c r="C15" s="20" t="s">
        <v>84</v>
      </c>
      <c r="D15" s="20" t="s">
        <v>79</v>
      </c>
      <c r="E15" s="20" t="s">
        <v>79</v>
      </c>
      <c r="F15" s="20"/>
      <c r="G15" s="20" t="s">
        <v>79</v>
      </c>
      <c r="H15" s="20" t="n">
        <f aca="false">COUNTIF(D15:G15,"Y")</f>
        <v>3</v>
      </c>
      <c r="I15" s="5" t="s">
        <v>80</v>
      </c>
      <c r="J15" s="5" t="s">
        <v>104</v>
      </c>
      <c r="K15" s="21"/>
      <c r="L15" s="20"/>
      <c r="M15" s="22"/>
      <c r="N15" s="22"/>
      <c r="O15" s="23"/>
      <c r="P15" s="23"/>
      <c r="Q15" s="23"/>
      <c r="R15" s="22"/>
      <c r="S15" s="22"/>
      <c r="T15" s="22"/>
      <c r="U15" s="22"/>
      <c r="V15" s="22"/>
      <c r="W15" s="22"/>
    </row>
    <row r="16" customFormat="false" ht="35.05" hidden="false" customHeight="false" outlineLevel="0" collapsed="false">
      <c r="A16" s="20" t="n">
        <v>12</v>
      </c>
      <c r="B16" s="5" t="s">
        <v>105</v>
      </c>
      <c r="C16" s="20" t="s">
        <v>84</v>
      </c>
      <c r="D16" s="20" t="s">
        <v>79</v>
      </c>
      <c r="E16" s="20"/>
      <c r="F16" s="20"/>
      <c r="G16" s="20"/>
      <c r="H16" s="20" t="n">
        <f aca="false">COUNTIF(D16:G16,"Y")</f>
        <v>1</v>
      </c>
      <c r="I16" s="5" t="s">
        <v>80</v>
      </c>
      <c r="J16" s="5" t="s">
        <v>106</v>
      </c>
      <c r="K16" s="21" t="s">
        <v>107</v>
      </c>
      <c r="L16" s="20"/>
      <c r="M16" s="22"/>
      <c r="N16" s="22"/>
      <c r="O16" s="23"/>
      <c r="P16" s="23"/>
      <c r="Q16" s="23"/>
      <c r="R16" s="22"/>
      <c r="S16" s="22"/>
      <c r="T16" s="22"/>
      <c r="U16" s="22"/>
      <c r="V16" s="22"/>
      <c r="W16" s="22"/>
    </row>
    <row r="17" customFormat="false" ht="23.85" hidden="false" customHeight="false" outlineLevel="0" collapsed="false">
      <c r="A17" s="20" t="n">
        <v>13</v>
      </c>
      <c r="B17" s="5" t="s">
        <v>108</v>
      </c>
      <c r="C17" s="20" t="s">
        <v>78</v>
      </c>
      <c r="D17" s="20" t="s">
        <v>79</v>
      </c>
      <c r="E17" s="20" t="s">
        <v>79</v>
      </c>
      <c r="F17" s="20"/>
      <c r="G17" s="20" t="s">
        <v>79</v>
      </c>
      <c r="H17" s="20" t="n">
        <f aca="false">COUNTIF(D17:G17,"Y")</f>
        <v>3</v>
      </c>
      <c r="I17" s="5" t="s">
        <v>80</v>
      </c>
      <c r="J17" s="5"/>
      <c r="K17" s="21"/>
      <c r="L17" s="20"/>
      <c r="M17" s="22"/>
      <c r="N17" s="22"/>
      <c r="O17" s="23"/>
      <c r="P17" s="23"/>
      <c r="Q17" s="23"/>
      <c r="R17" s="22"/>
      <c r="S17" s="22"/>
      <c r="T17" s="22"/>
      <c r="U17" s="22"/>
      <c r="V17" s="22"/>
      <c r="W17" s="22"/>
    </row>
    <row r="18" customFormat="false" ht="23.85" hidden="false" customHeight="false" outlineLevel="0" collapsed="false">
      <c r="A18" s="20" t="n">
        <v>14</v>
      </c>
      <c r="B18" s="5" t="s">
        <v>109</v>
      </c>
      <c r="C18" s="20" t="s">
        <v>100</v>
      </c>
      <c r="D18" s="20" t="s">
        <v>79</v>
      </c>
      <c r="E18" s="20" t="s">
        <v>79</v>
      </c>
      <c r="F18" s="20"/>
      <c r="G18" s="20" t="s">
        <v>79</v>
      </c>
      <c r="H18" s="20" t="n">
        <f aca="false">COUNTIF(D18:G18,"Y")</f>
        <v>3</v>
      </c>
      <c r="I18" s="5" t="s">
        <v>80</v>
      </c>
      <c r="J18" s="5"/>
      <c r="K18" s="21"/>
      <c r="L18" s="20"/>
      <c r="M18" s="22"/>
      <c r="N18" s="22"/>
      <c r="O18" s="23"/>
      <c r="P18" s="23"/>
      <c r="Q18" s="23"/>
      <c r="R18" s="22"/>
      <c r="S18" s="22"/>
      <c r="T18" s="22"/>
      <c r="U18" s="22"/>
      <c r="V18" s="22"/>
      <c r="W18" s="22"/>
    </row>
    <row r="19" customFormat="false" ht="23.85" hidden="false" customHeight="false" outlineLevel="0" collapsed="false">
      <c r="A19" s="20" t="n">
        <v>15</v>
      </c>
      <c r="B19" s="5" t="s">
        <v>110</v>
      </c>
      <c r="C19" s="20" t="s">
        <v>84</v>
      </c>
      <c r="D19" s="20" t="s">
        <v>79</v>
      </c>
      <c r="E19" s="20"/>
      <c r="F19" s="20"/>
      <c r="G19" s="20" t="s">
        <v>79</v>
      </c>
      <c r="H19" s="20" t="n">
        <f aca="false">COUNTIF(D19:G19,"Y")</f>
        <v>2</v>
      </c>
      <c r="I19" s="5" t="s">
        <v>80</v>
      </c>
      <c r="J19" s="5" t="s">
        <v>111</v>
      </c>
      <c r="K19" s="21"/>
      <c r="L19" s="20" t="s">
        <v>112</v>
      </c>
      <c r="M19" s="22"/>
      <c r="N19" s="22"/>
      <c r="O19" s="23"/>
      <c r="P19" s="23"/>
      <c r="Q19" s="23"/>
      <c r="R19" s="22"/>
      <c r="S19" s="22"/>
      <c r="T19" s="22"/>
      <c r="U19" s="22"/>
      <c r="V19" s="22"/>
      <c r="W19" s="22"/>
    </row>
    <row r="20" customFormat="false" ht="23.85" hidden="false" customHeight="false" outlineLevel="0" collapsed="false">
      <c r="A20" s="20" t="n">
        <v>16</v>
      </c>
      <c r="B20" s="5" t="s">
        <v>113</v>
      </c>
      <c r="C20" s="20" t="s">
        <v>90</v>
      </c>
      <c r="D20" s="20" t="s">
        <v>79</v>
      </c>
      <c r="E20" s="20"/>
      <c r="F20" s="20"/>
      <c r="G20" s="20"/>
      <c r="H20" s="20" t="n">
        <f aca="false">COUNTIF(D20:G20,"Y")</f>
        <v>1</v>
      </c>
      <c r="I20" s="5" t="s">
        <v>80</v>
      </c>
      <c r="J20" s="5"/>
      <c r="K20" s="21"/>
      <c r="L20" s="20"/>
      <c r="M20" s="22"/>
      <c r="N20" s="22"/>
      <c r="O20" s="23"/>
      <c r="P20" s="23"/>
      <c r="Q20" s="23"/>
      <c r="R20" s="22"/>
      <c r="S20" s="22"/>
      <c r="T20" s="22"/>
      <c r="U20" s="22"/>
      <c r="V20" s="22"/>
      <c r="W20" s="22"/>
    </row>
    <row r="21" customFormat="false" ht="23.85" hidden="false" customHeight="false" outlineLevel="0" collapsed="false">
      <c r="A21" s="20" t="n">
        <v>17</v>
      </c>
      <c r="B21" s="5" t="s">
        <v>114</v>
      </c>
      <c r="C21" s="20" t="s">
        <v>90</v>
      </c>
      <c r="D21" s="20" t="s">
        <v>79</v>
      </c>
      <c r="E21" s="20" t="s">
        <v>79</v>
      </c>
      <c r="F21" s="20"/>
      <c r="G21" s="20" t="s">
        <v>79</v>
      </c>
      <c r="H21" s="20" t="n">
        <f aca="false">COUNTIF(D21:G21,"Y")</f>
        <v>3</v>
      </c>
      <c r="I21" s="5" t="s">
        <v>80</v>
      </c>
      <c r="J21" s="5" t="s">
        <v>115</v>
      </c>
      <c r="K21" s="21" t="s">
        <v>82</v>
      </c>
      <c r="L21" s="20" t="s">
        <v>116</v>
      </c>
      <c r="M21" s="22"/>
      <c r="N21" s="22"/>
      <c r="O21" s="23"/>
      <c r="P21" s="23"/>
      <c r="Q21" s="23"/>
      <c r="R21" s="22"/>
      <c r="S21" s="22"/>
      <c r="T21" s="22"/>
      <c r="U21" s="22"/>
      <c r="V21" s="22"/>
      <c r="W21" s="22"/>
    </row>
    <row r="22" customFormat="false" ht="23.85" hidden="false" customHeight="false" outlineLevel="0" collapsed="false">
      <c r="A22" s="20" t="n">
        <v>18</v>
      </c>
      <c r="B22" s="5" t="s">
        <v>117</v>
      </c>
      <c r="C22" s="20" t="s">
        <v>78</v>
      </c>
      <c r="D22" s="20" t="s">
        <v>79</v>
      </c>
      <c r="E22" s="20" t="s">
        <v>79</v>
      </c>
      <c r="F22" s="20"/>
      <c r="G22" s="20" t="s">
        <v>79</v>
      </c>
      <c r="H22" s="20" t="n">
        <f aca="false">COUNTIF(D22:G22,"Y")</f>
        <v>3</v>
      </c>
      <c r="I22" s="5" t="s">
        <v>80</v>
      </c>
      <c r="J22" s="5" t="s">
        <v>118</v>
      </c>
      <c r="K22" s="21"/>
      <c r="L22" s="20" t="s">
        <v>119</v>
      </c>
      <c r="M22" s="22"/>
      <c r="N22" s="22"/>
      <c r="O22" s="23"/>
      <c r="P22" s="23"/>
      <c r="Q22" s="23"/>
      <c r="R22" s="22"/>
      <c r="S22" s="22"/>
      <c r="T22" s="22"/>
      <c r="U22" s="22"/>
      <c r="V22" s="22"/>
      <c r="W22" s="22"/>
    </row>
    <row r="23" customFormat="false" ht="23.85" hidden="false" customHeight="false" outlineLevel="0" collapsed="false">
      <c r="A23" s="20" t="n">
        <v>19</v>
      </c>
      <c r="B23" s="5" t="s">
        <v>120</v>
      </c>
      <c r="C23" s="20" t="s">
        <v>97</v>
      </c>
      <c r="D23" s="20" t="s">
        <v>79</v>
      </c>
      <c r="E23" s="20"/>
      <c r="F23" s="20"/>
      <c r="G23" s="20"/>
      <c r="H23" s="20" t="n">
        <f aca="false">COUNTIF(D23:G23,"Y")</f>
        <v>1</v>
      </c>
      <c r="I23" s="5" t="s">
        <v>80</v>
      </c>
      <c r="J23" s="5"/>
      <c r="K23" s="21"/>
      <c r="L23" s="20"/>
      <c r="M23" s="22"/>
      <c r="N23" s="22"/>
      <c r="O23" s="23"/>
      <c r="P23" s="23"/>
      <c r="Q23" s="23"/>
      <c r="R23" s="22"/>
      <c r="S23" s="22"/>
      <c r="T23" s="22"/>
      <c r="U23" s="22"/>
      <c r="V23" s="22"/>
      <c r="W23" s="22"/>
    </row>
    <row r="24" customFormat="false" ht="23.85" hidden="false" customHeight="false" outlineLevel="0" collapsed="false">
      <c r="A24" s="20" t="n">
        <v>20</v>
      </c>
      <c r="B24" s="5" t="s">
        <v>121</v>
      </c>
      <c r="C24" s="20" t="s">
        <v>90</v>
      </c>
      <c r="D24" s="20" t="s">
        <v>79</v>
      </c>
      <c r="E24" s="20" t="s">
        <v>79</v>
      </c>
      <c r="F24" s="20"/>
      <c r="G24" s="20" t="s">
        <v>79</v>
      </c>
      <c r="H24" s="20" t="n">
        <f aca="false">COUNTIF(D24:G24,"Y")</f>
        <v>3</v>
      </c>
      <c r="I24" s="5" t="s">
        <v>80</v>
      </c>
      <c r="J24" s="5"/>
      <c r="K24" s="21"/>
      <c r="L24" s="20"/>
      <c r="M24" s="22"/>
      <c r="N24" s="22"/>
      <c r="O24" s="23"/>
      <c r="P24" s="23"/>
      <c r="Q24" s="23"/>
      <c r="R24" s="22"/>
      <c r="S24" s="22"/>
      <c r="T24" s="22"/>
      <c r="U24" s="22"/>
      <c r="V24" s="22"/>
      <c r="W24" s="22"/>
    </row>
    <row r="25" customFormat="false" ht="23.85" hidden="false" customHeight="false" outlineLevel="0" collapsed="false">
      <c r="A25" s="20" t="n">
        <v>21</v>
      </c>
      <c r="B25" s="5" t="s">
        <v>122</v>
      </c>
      <c r="C25" s="20" t="s">
        <v>78</v>
      </c>
      <c r="D25" s="20" t="s">
        <v>79</v>
      </c>
      <c r="E25" s="20" t="s">
        <v>79</v>
      </c>
      <c r="F25" s="20" t="s">
        <v>79</v>
      </c>
      <c r="G25" s="20" t="s">
        <v>79</v>
      </c>
      <c r="H25" s="20" t="n">
        <f aca="false">COUNTIF(D25:G25,"Y")</f>
        <v>4</v>
      </c>
      <c r="I25" s="5" t="s">
        <v>80</v>
      </c>
      <c r="J25" s="5" t="s">
        <v>123</v>
      </c>
      <c r="K25" s="21"/>
      <c r="L25" s="20" t="s">
        <v>124</v>
      </c>
      <c r="M25" s="22"/>
      <c r="N25" s="22"/>
      <c r="O25" s="23"/>
      <c r="P25" s="23"/>
      <c r="Q25" s="23"/>
      <c r="R25" s="22"/>
      <c r="S25" s="22"/>
      <c r="T25" s="22"/>
      <c r="U25" s="22"/>
      <c r="V25" s="22"/>
      <c r="W25" s="22"/>
    </row>
    <row r="26" customFormat="false" ht="23.85" hidden="false" customHeight="false" outlineLevel="0" collapsed="false">
      <c r="A26" s="20" t="n">
        <v>22</v>
      </c>
      <c r="B26" s="5" t="s">
        <v>125</v>
      </c>
      <c r="C26" s="20" t="s">
        <v>78</v>
      </c>
      <c r="D26" s="20" t="s">
        <v>79</v>
      </c>
      <c r="E26" s="20" t="s">
        <v>79</v>
      </c>
      <c r="F26" s="20"/>
      <c r="G26" s="20" t="s">
        <v>79</v>
      </c>
      <c r="H26" s="20" t="n">
        <f aca="false">COUNTIF(D26:G26,"Y")</f>
        <v>3</v>
      </c>
      <c r="I26" s="5" t="s">
        <v>80</v>
      </c>
      <c r="J26" s="5" t="s">
        <v>126</v>
      </c>
      <c r="K26" s="21"/>
      <c r="L26" s="20" t="s">
        <v>127</v>
      </c>
      <c r="M26" s="22"/>
      <c r="N26" s="22"/>
      <c r="O26" s="23"/>
      <c r="P26" s="23"/>
      <c r="Q26" s="23"/>
      <c r="R26" s="22"/>
      <c r="S26" s="22"/>
      <c r="T26" s="22"/>
      <c r="U26" s="22"/>
      <c r="V26" s="22"/>
      <c r="W26" s="22"/>
    </row>
    <row r="27" customFormat="false" ht="23.85" hidden="false" customHeight="false" outlineLevel="0" collapsed="false">
      <c r="A27" s="20" t="n">
        <v>23</v>
      </c>
      <c r="B27" s="5" t="s">
        <v>128</v>
      </c>
      <c r="C27" s="20" t="s">
        <v>84</v>
      </c>
      <c r="D27" s="20" t="s">
        <v>79</v>
      </c>
      <c r="E27" s="20" t="s">
        <v>79</v>
      </c>
      <c r="F27" s="20"/>
      <c r="G27" s="20" t="s">
        <v>79</v>
      </c>
      <c r="H27" s="20" t="n">
        <f aca="false">COUNTIF(D27:G27,"Y")</f>
        <v>3</v>
      </c>
      <c r="I27" s="5" t="s">
        <v>80</v>
      </c>
      <c r="J27" s="5" t="s">
        <v>129</v>
      </c>
      <c r="K27" s="21"/>
      <c r="L27" s="20"/>
      <c r="M27" s="22"/>
      <c r="N27" s="22"/>
      <c r="O27" s="23"/>
      <c r="P27" s="23"/>
      <c r="Q27" s="23"/>
      <c r="R27" s="22"/>
      <c r="S27" s="22"/>
      <c r="T27" s="22"/>
      <c r="U27" s="22"/>
      <c r="V27" s="22"/>
      <c r="W27" s="22"/>
    </row>
    <row r="28" customFormat="false" ht="23.85" hidden="false" customHeight="false" outlineLevel="0" collapsed="false">
      <c r="A28" s="20" t="n">
        <v>24</v>
      </c>
      <c r="B28" s="5" t="s">
        <v>130</v>
      </c>
      <c r="C28" s="20" t="s">
        <v>78</v>
      </c>
      <c r="D28" s="20" t="s">
        <v>79</v>
      </c>
      <c r="E28" s="20" t="s">
        <v>79</v>
      </c>
      <c r="F28" s="20" t="s">
        <v>79</v>
      </c>
      <c r="G28" s="20" t="s">
        <v>79</v>
      </c>
      <c r="H28" s="20" t="n">
        <f aca="false">COUNTIF(D28:G28,"Y")</f>
        <v>4</v>
      </c>
      <c r="I28" s="5" t="s">
        <v>80</v>
      </c>
      <c r="J28" s="5" t="s">
        <v>81</v>
      </c>
      <c r="K28" s="21" t="s">
        <v>82</v>
      </c>
      <c r="L28" s="20"/>
      <c r="M28" s="22"/>
      <c r="N28" s="22"/>
      <c r="O28" s="23"/>
      <c r="P28" s="23"/>
      <c r="Q28" s="23"/>
      <c r="R28" s="22"/>
      <c r="S28" s="22"/>
      <c r="T28" s="22"/>
      <c r="U28" s="22"/>
      <c r="V28" s="22"/>
      <c r="W28" s="22"/>
    </row>
    <row r="29" customFormat="false" ht="23.85" hidden="false" customHeight="false" outlineLevel="0" collapsed="false">
      <c r="A29" s="20" t="n">
        <v>25</v>
      </c>
      <c r="B29" s="5" t="s">
        <v>131</v>
      </c>
      <c r="C29" s="20" t="s">
        <v>84</v>
      </c>
      <c r="D29" s="20" t="s">
        <v>79</v>
      </c>
      <c r="E29" s="20" t="s">
        <v>79</v>
      </c>
      <c r="F29" s="20"/>
      <c r="G29" s="20" t="s">
        <v>79</v>
      </c>
      <c r="H29" s="20" t="n">
        <f aca="false">COUNTIF(D29:G29,"Y")</f>
        <v>3</v>
      </c>
      <c r="I29" s="5" t="s">
        <v>80</v>
      </c>
      <c r="J29" s="5" t="s">
        <v>132</v>
      </c>
      <c r="K29" s="21"/>
      <c r="L29" s="20" t="s">
        <v>133</v>
      </c>
      <c r="M29" s="22"/>
      <c r="N29" s="22"/>
      <c r="O29" s="23"/>
      <c r="P29" s="23"/>
      <c r="Q29" s="23"/>
      <c r="R29" s="22"/>
      <c r="S29" s="22"/>
      <c r="T29" s="22"/>
      <c r="U29" s="22"/>
      <c r="V29" s="22"/>
      <c r="W29" s="22"/>
    </row>
    <row r="30" customFormat="false" ht="23.85" hidden="false" customHeight="false" outlineLevel="0" collapsed="false">
      <c r="A30" s="20" t="n">
        <v>26</v>
      </c>
      <c r="B30" s="5" t="s">
        <v>134</v>
      </c>
      <c r="C30" s="20" t="s">
        <v>92</v>
      </c>
      <c r="D30" s="20" t="s">
        <v>79</v>
      </c>
      <c r="E30" s="20"/>
      <c r="F30" s="20"/>
      <c r="G30" s="20" t="s">
        <v>79</v>
      </c>
      <c r="H30" s="20" t="n">
        <f aca="false">COUNTIF(D30:G30,"Y")</f>
        <v>2</v>
      </c>
      <c r="I30" s="5" t="s">
        <v>80</v>
      </c>
      <c r="J30" s="5"/>
      <c r="K30" s="21"/>
      <c r="L30" s="20"/>
      <c r="M30" s="22"/>
      <c r="N30" s="22"/>
      <c r="O30" s="23"/>
      <c r="P30" s="23"/>
      <c r="Q30" s="23"/>
      <c r="R30" s="22"/>
      <c r="S30" s="22"/>
      <c r="T30" s="22"/>
      <c r="U30" s="22"/>
      <c r="V30" s="22"/>
      <c r="W30" s="22"/>
    </row>
    <row r="31" customFormat="false" ht="35.05" hidden="false" customHeight="false" outlineLevel="0" collapsed="false">
      <c r="A31" s="20" t="n">
        <v>27</v>
      </c>
      <c r="B31" s="5" t="s">
        <v>135</v>
      </c>
      <c r="C31" s="20" t="s">
        <v>97</v>
      </c>
      <c r="D31" s="20" t="s">
        <v>79</v>
      </c>
      <c r="E31" s="20"/>
      <c r="F31" s="20"/>
      <c r="G31" s="20"/>
      <c r="H31" s="20" t="n">
        <f aca="false">COUNTIF(D31:G31,"Y")</f>
        <v>1</v>
      </c>
      <c r="I31" s="5" t="s">
        <v>80</v>
      </c>
      <c r="J31" s="5" t="s">
        <v>136</v>
      </c>
      <c r="K31" s="21" t="s">
        <v>137</v>
      </c>
      <c r="L31" s="20"/>
      <c r="M31" s="22"/>
      <c r="N31" s="22"/>
      <c r="O31" s="23"/>
      <c r="P31" s="23"/>
      <c r="Q31" s="23"/>
      <c r="R31" s="22"/>
      <c r="S31" s="22"/>
      <c r="T31" s="22"/>
      <c r="U31" s="22"/>
      <c r="V31" s="22"/>
      <c r="W31" s="22"/>
    </row>
    <row r="32" customFormat="false" ht="35.05" hidden="false" customHeight="false" outlineLevel="0" collapsed="false">
      <c r="A32" s="20" t="n">
        <v>28</v>
      </c>
      <c r="B32" s="5" t="s">
        <v>138</v>
      </c>
      <c r="C32" s="20" t="s">
        <v>84</v>
      </c>
      <c r="D32" s="20" t="s">
        <v>79</v>
      </c>
      <c r="E32" s="20" t="s">
        <v>79</v>
      </c>
      <c r="F32" s="20"/>
      <c r="G32" s="20" t="s">
        <v>79</v>
      </c>
      <c r="H32" s="20" t="n">
        <f aca="false">COUNTIF(D32:G32,"Y")</f>
        <v>3</v>
      </c>
      <c r="I32" s="5" t="s">
        <v>80</v>
      </c>
      <c r="J32" s="5"/>
      <c r="K32" s="21" t="s">
        <v>139</v>
      </c>
      <c r="L32" s="20"/>
      <c r="M32" s="22"/>
      <c r="N32" s="22"/>
      <c r="O32" s="23"/>
      <c r="P32" s="23"/>
      <c r="Q32" s="23"/>
      <c r="R32" s="22"/>
      <c r="S32" s="22"/>
      <c r="T32" s="22"/>
      <c r="U32" s="22"/>
      <c r="V32" s="22"/>
      <c r="W32" s="22"/>
    </row>
    <row r="33" customFormat="false" ht="23.85" hidden="false" customHeight="false" outlineLevel="0" collapsed="false">
      <c r="A33" s="20" t="n">
        <v>29</v>
      </c>
      <c r="B33" s="5" t="s">
        <v>140</v>
      </c>
      <c r="C33" s="20" t="s">
        <v>78</v>
      </c>
      <c r="D33" s="20" t="s">
        <v>79</v>
      </c>
      <c r="E33" s="20" t="s">
        <v>79</v>
      </c>
      <c r="F33" s="20"/>
      <c r="G33" s="20" t="s">
        <v>79</v>
      </c>
      <c r="H33" s="20" t="n">
        <f aca="false">COUNTIF(D33:G33,"Y")</f>
        <v>3</v>
      </c>
      <c r="I33" s="5" t="s">
        <v>80</v>
      </c>
      <c r="J33" s="5"/>
      <c r="K33" s="21"/>
      <c r="L33" s="20"/>
      <c r="M33" s="22"/>
      <c r="N33" s="22"/>
      <c r="O33" s="23"/>
      <c r="P33" s="23"/>
      <c r="Q33" s="23"/>
      <c r="R33" s="22"/>
      <c r="S33" s="22"/>
      <c r="T33" s="22"/>
      <c r="U33" s="22"/>
      <c r="V33" s="22"/>
      <c r="W33" s="22"/>
    </row>
    <row r="34" customFormat="false" ht="23.85" hidden="false" customHeight="false" outlineLevel="0" collapsed="false">
      <c r="A34" s="20" t="n">
        <v>30</v>
      </c>
      <c r="B34" s="5" t="s">
        <v>141</v>
      </c>
      <c r="C34" s="20" t="s">
        <v>92</v>
      </c>
      <c r="D34" s="20" t="s">
        <v>79</v>
      </c>
      <c r="E34" s="20"/>
      <c r="F34" s="20"/>
      <c r="G34" s="20"/>
      <c r="H34" s="20" t="n">
        <f aca="false">COUNTIF(D34:G34,"Y")</f>
        <v>1</v>
      </c>
      <c r="I34" s="5" t="s">
        <v>80</v>
      </c>
      <c r="J34" s="5"/>
      <c r="K34" s="21" t="s">
        <v>142</v>
      </c>
      <c r="L34" s="20"/>
      <c r="M34" s="22"/>
      <c r="N34" s="22"/>
      <c r="O34" s="23"/>
      <c r="P34" s="23"/>
      <c r="Q34" s="23"/>
      <c r="R34" s="22"/>
      <c r="S34" s="22"/>
      <c r="T34" s="22"/>
      <c r="U34" s="22"/>
      <c r="V34" s="22"/>
      <c r="W34" s="22"/>
    </row>
    <row r="35" customFormat="false" ht="23.85" hidden="false" customHeight="false" outlineLevel="0" collapsed="false">
      <c r="A35" s="20" t="n">
        <v>31</v>
      </c>
      <c r="B35" s="5" t="s">
        <v>143</v>
      </c>
      <c r="C35" s="20" t="s">
        <v>144</v>
      </c>
      <c r="D35" s="20" t="s">
        <v>79</v>
      </c>
      <c r="E35" s="20" t="s">
        <v>79</v>
      </c>
      <c r="F35" s="20" t="s">
        <v>79</v>
      </c>
      <c r="G35" s="20" t="s">
        <v>79</v>
      </c>
      <c r="H35" s="20" t="n">
        <f aca="false">COUNTIF(D35:G35,"Y")</f>
        <v>4</v>
      </c>
      <c r="I35" s="5" t="s">
        <v>80</v>
      </c>
      <c r="J35" s="5"/>
      <c r="K35" s="21"/>
      <c r="L35" s="20"/>
      <c r="M35" s="22"/>
      <c r="N35" s="22"/>
      <c r="O35" s="23"/>
      <c r="P35" s="23"/>
      <c r="Q35" s="23"/>
      <c r="R35" s="22"/>
      <c r="S35" s="22"/>
      <c r="T35" s="22"/>
      <c r="U35" s="22"/>
      <c r="V35" s="22"/>
      <c r="W35" s="22"/>
    </row>
    <row r="36" customFormat="false" ht="23.85" hidden="false" customHeight="false" outlineLevel="0" collapsed="false">
      <c r="A36" s="20" t="n">
        <v>32</v>
      </c>
      <c r="B36" s="5" t="s">
        <v>145</v>
      </c>
      <c r="C36" s="20" t="s">
        <v>84</v>
      </c>
      <c r="D36" s="20" t="s">
        <v>79</v>
      </c>
      <c r="E36" s="20" t="s">
        <v>79</v>
      </c>
      <c r="F36" s="20"/>
      <c r="G36" s="20" t="s">
        <v>79</v>
      </c>
      <c r="H36" s="20" t="n">
        <f aca="false">COUNTIF(D36:G36,"Y")</f>
        <v>3</v>
      </c>
      <c r="I36" s="5" t="s">
        <v>80</v>
      </c>
      <c r="J36" s="5" t="s">
        <v>146</v>
      </c>
      <c r="K36" s="21"/>
      <c r="L36" s="20"/>
      <c r="M36" s="22"/>
      <c r="N36" s="22"/>
      <c r="O36" s="23"/>
      <c r="P36" s="23"/>
      <c r="Q36" s="23"/>
      <c r="R36" s="22"/>
      <c r="S36" s="22"/>
      <c r="T36" s="22"/>
      <c r="U36" s="22"/>
      <c r="V36" s="22"/>
      <c r="W36" s="22"/>
    </row>
    <row r="37" customFormat="false" ht="23.85" hidden="false" customHeight="false" outlineLevel="0" collapsed="false">
      <c r="A37" s="20" t="n">
        <v>33</v>
      </c>
      <c r="B37" s="5" t="s">
        <v>147</v>
      </c>
      <c r="C37" s="20" t="s">
        <v>148</v>
      </c>
      <c r="D37" s="20" t="s">
        <v>79</v>
      </c>
      <c r="E37" s="20" t="s">
        <v>79</v>
      </c>
      <c r="F37" s="20"/>
      <c r="G37" s="20" t="s">
        <v>79</v>
      </c>
      <c r="H37" s="20" t="n">
        <f aca="false">COUNTIF(D37:G37,"Y")</f>
        <v>3</v>
      </c>
      <c r="I37" s="5" t="s">
        <v>80</v>
      </c>
      <c r="J37" s="5"/>
      <c r="K37" s="21"/>
      <c r="L37" s="20"/>
      <c r="M37" s="22"/>
      <c r="N37" s="22"/>
      <c r="O37" s="23"/>
      <c r="P37" s="23"/>
      <c r="Q37" s="23"/>
      <c r="R37" s="22"/>
      <c r="S37" s="22"/>
      <c r="T37" s="22"/>
      <c r="U37" s="22"/>
      <c r="V37" s="22"/>
      <c r="W37" s="22"/>
    </row>
    <row r="38" customFormat="false" ht="23.85" hidden="false" customHeight="false" outlineLevel="0" collapsed="false">
      <c r="A38" s="20" t="n">
        <v>34</v>
      </c>
      <c r="B38" s="5" t="s">
        <v>149</v>
      </c>
      <c r="C38" s="20" t="s">
        <v>148</v>
      </c>
      <c r="D38" s="20" t="s">
        <v>79</v>
      </c>
      <c r="E38" s="20" t="s">
        <v>79</v>
      </c>
      <c r="F38" s="20" t="s">
        <v>79</v>
      </c>
      <c r="G38" s="20" t="s">
        <v>79</v>
      </c>
      <c r="H38" s="20" t="n">
        <f aca="false">COUNTIF(D38:G38,"Y")</f>
        <v>4</v>
      </c>
      <c r="I38" s="5" t="s">
        <v>80</v>
      </c>
      <c r="J38" s="5" t="s">
        <v>150</v>
      </c>
      <c r="K38" s="21"/>
      <c r="L38" s="20"/>
      <c r="M38" s="22"/>
      <c r="N38" s="22"/>
      <c r="O38" s="23"/>
      <c r="P38" s="23"/>
      <c r="Q38" s="23"/>
      <c r="R38" s="22"/>
      <c r="S38" s="22"/>
      <c r="T38" s="22"/>
      <c r="U38" s="22"/>
      <c r="V38" s="22"/>
      <c r="W38" s="22"/>
    </row>
    <row r="39" customFormat="false" ht="23.85" hidden="false" customHeight="false" outlineLevel="0" collapsed="false">
      <c r="A39" s="20" t="n">
        <v>35</v>
      </c>
      <c r="B39" s="5" t="s">
        <v>151</v>
      </c>
      <c r="C39" s="20" t="s">
        <v>144</v>
      </c>
      <c r="D39" s="20" t="s">
        <v>79</v>
      </c>
      <c r="E39" s="20"/>
      <c r="F39" s="20"/>
      <c r="G39" s="20" t="s">
        <v>79</v>
      </c>
      <c r="H39" s="20" t="n">
        <f aca="false">COUNTIF(D39:G39,"Y")</f>
        <v>2</v>
      </c>
      <c r="I39" s="5" t="s">
        <v>80</v>
      </c>
      <c r="J39" s="5" t="s">
        <v>152</v>
      </c>
      <c r="K39" s="21" t="s">
        <v>153</v>
      </c>
      <c r="L39" s="20"/>
      <c r="M39" s="22"/>
      <c r="N39" s="22"/>
      <c r="O39" s="23"/>
      <c r="P39" s="23"/>
      <c r="Q39" s="23"/>
      <c r="R39" s="22"/>
      <c r="S39" s="22"/>
      <c r="T39" s="22"/>
      <c r="U39" s="22"/>
      <c r="V39" s="22"/>
      <c r="W39" s="22"/>
    </row>
    <row r="40" customFormat="false" ht="35.05" hidden="false" customHeight="false" outlineLevel="0" collapsed="false">
      <c r="A40" s="20" t="n">
        <v>36</v>
      </c>
      <c r="B40" s="5" t="s">
        <v>154</v>
      </c>
      <c r="C40" s="20" t="s">
        <v>90</v>
      </c>
      <c r="D40" s="20" t="s">
        <v>79</v>
      </c>
      <c r="E40" s="20" t="s">
        <v>79</v>
      </c>
      <c r="F40" s="20" t="s">
        <v>79</v>
      </c>
      <c r="G40" s="20" t="s">
        <v>79</v>
      </c>
      <c r="H40" s="20" t="n">
        <f aca="false">COUNTIF(D40:G40,"Y")</f>
        <v>4</v>
      </c>
      <c r="I40" s="5" t="s">
        <v>80</v>
      </c>
      <c r="J40" s="5" t="s">
        <v>155</v>
      </c>
      <c r="K40" s="21" t="s">
        <v>153</v>
      </c>
      <c r="L40" s="20"/>
      <c r="M40" s="22"/>
      <c r="N40" s="22"/>
      <c r="O40" s="23"/>
      <c r="P40" s="23"/>
      <c r="Q40" s="23"/>
      <c r="R40" s="22"/>
      <c r="S40" s="22"/>
      <c r="T40" s="22"/>
      <c r="U40" s="22"/>
      <c r="V40" s="22"/>
      <c r="W40" s="22"/>
    </row>
    <row r="41" customFormat="false" ht="23.85" hidden="false" customHeight="false" outlineLevel="0" collapsed="false">
      <c r="A41" s="20" t="n">
        <v>37</v>
      </c>
      <c r="B41" s="5" t="s">
        <v>156</v>
      </c>
      <c r="C41" s="20" t="s">
        <v>97</v>
      </c>
      <c r="D41" s="20" t="s">
        <v>79</v>
      </c>
      <c r="E41" s="20"/>
      <c r="F41" s="20"/>
      <c r="G41" s="20" t="s">
        <v>79</v>
      </c>
      <c r="H41" s="20" t="n">
        <f aca="false">COUNTIF(D41:G41,"Y")</f>
        <v>2</v>
      </c>
      <c r="I41" s="5" t="s">
        <v>80</v>
      </c>
      <c r="J41" s="5" t="s">
        <v>81</v>
      </c>
      <c r="K41" s="21" t="s">
        <v>82</v>
      </c>
      <c r="L41" s="20"/>
      <c r="M41" s="22"/>
      <c r="N41" s="22"/>
      <c r="O41" s="23"/>
      <c r="P41" s="23"/>
      <c r="Q41" s="23"/>
      <c r="R41" s="22"/>
      <c r="S41" s="22"/>
      <c r="T41" s="22"/>
      <c r="U41" s="22"/>
      <c r="V41" s="22"/>
      <c r="W41" s="22"/>
    </row>
    <row r="42" customFormat="false" ht="23.85" hidden="false" customHeight="false" outlineLevel="0" collapsed="false">
      <c r="A42" s="20" t="n">
        <v>38</v>
      </c>
      <c r="B42" s="5" t="s">
        <v>157</v>
      </c>
      <c r="C42" s="20" t="s">
        <v>84</v>
      </c>
      <c r="D42" s="20" t="s">
        <v>79</v>
      </c>
      <c r="E42" s="20" t="s">
        <v>79</v>
      </c>
      <c r="F42" s="20"/>
      <c r="G42" s="20" t="s">
        <v>79</v>
      </c>
      <c r="H42" s="20" t="n">
        <f aca="false">COUNTIF(D42:G42,"Y")</f>
        <v>3</v>
      </c>
      <c r="I42" s="5" t="s">
        <v>80</v>
      </c>
      <c r="J42" s="5"/>
      <c r="K42" s="21" t="s">
        <v>158</v>
      </c>
      <c r="L42" s="20"/>
      <c r="M42" s="22"/>
      <c r="N42" s="22"/>
      <c r="O42" s="23"/>
      <c r="P42" s="23"/>
      <c r="Q42" s="23"/>
      <c r="R42" s="22"/>
      <c r="S42" s="22"/>
      <c r="T42" s="22"/>
      <c r="U42" s="22"/>
      <c r="V42" s="22"/>
      <c r="W42" s="22"/>
    </row>
    <row r="43" customFormat="false" ht="23.85" hidden="false" customHeight="false" outlineLevel="0" collapsed="false">
      <c r="A43" s="20" t="n">
        <v>39</v>
      </c>
      <c r="B43" s="5" t="s">
        <v>159</v>
      </c>
      <c r="C43" s="20" t="s">
        <v>144</v>
      </c>
      <c r="D43" s="20" t="s">
        <v>79</v>
      </c>
      <c r="E43" s="20"/>
      <c r="F43" s="20"/>
      <c r="G43" s="20" t="s">
        <v>79</v>
      </c>
      <c r="H43" s="20" t="n">
        <f aca="false">COUNTIF(D43:G43,"Y")</f>
        <v>2</v>
      </c>
      <c r="I43" s="5" t="s">
        <v>80</v>
      </c>
      <c r="J43" s="5"/>
      <c r="K43" s="21"/>
      <c r="L43" s="20"/>
      <c r="M43" s="22"/>
      <c r="N43" s="22"/>
      <c r="O43" s="23"/>
      <c r="P43" s="23"/>
      <c r="Q43" s="23"/>
      <c r="R43" s="22"/>
      <c r="S43" s="22"/>
      <c r="T43" s="22"/>
      <c r="U43" s="22"/>
      <c r="V43" s="22"/>
      <c r="W43" s="22"/>
    </row>
    <row r="44" customFormat="false" ht="23.85" hidden="false" customHeight="false" outlineLevel="0" collapsed="false">
      <c r="A44" s="20" t="n">
        <v>40</v>
      </c>
      <c r="B44" s="5" t="s">
        <v>160</v>
      </c>
      <c r="C44" s="20" t="s">
        <v>144</v>
      </c>
      <c r="D44" s="20" t="s">
        <v>79</v>
      </c>
      <c r="E44" s="20" t="s">
        <v>79</v>
      </c>
      <c r="F44" s="20"/>
      <c r="G44" s="20" t="s">
        <v>79</v>
      </c>
      <c r="H44" s="20" t="n">
        <f aca="false">COUNTIF(D44:G44,"Y")</f>
        <v>3</v>
      </c>
      <c r="I44" s="5" t="s">
        <v>80</v>
      </c>
      <c r="J44" s="5" t="s">
        <v>161</v>
      </c>
      <c r="K44" s="21" t="s">
        <v>162</v>
      </c>
      <c r="L44" s="20"/>
      <c r="M44" s="22"/>
      <c r="N44" s="22"/>
      <c r="O44" s="23"/>
      <c r="P44" s="23"/>
      <c r="Q44" s="23"/>
      <c r="R44" s="22"/>
      <c r="S44" s="22"/>
      <c r="T44" s="22"/>
      <c r="U44" s="22"/>
      <c r="V44" s="22"/>
      <c r="W44" s="22"/>
    </row>
    <row r="45" customFormat="false" ht="23.85" hidden="false" customHeight="false" outlineLevel="0" collapsed="false">
      <c r="A45" s="20" t="n">
        <v>41</v>
      </c>
      <c r="B45" s="5" t="s">
        <v>163</v>
      </c>
      <c r="C45" s="20" t="s">
        <v>144</v>
      </c>
      <c r="D45" s="20" t="s">
        <v>79</v>
      </c>
      <c r="E45" s="20"/>
      <c r="F45" s="20"/>
      <c r="G45" s="20" t="s">
        <v>79</v>
      </c>
      <c r="H45" s="20" t="n">
        <f aca="false">COUNTIF(D45:G45,"Y")</f>
        <v>2</v>
      </c>
      <c r="I45" s="5" t="s">
        <v>80</v>
      </c>
      <c r="J45" s="5" t="s">
        <v>81</v>
      </c>
      <c r="K45" s="21" t="s">
        <v>82</v>
      </c>
      <c r="L45" s="20"/>
      <c r="M45" s="22"/>
      <c r="N45" s="22"/>
      <c r="O45" s="23"/>
      <c r="P45" s="23"/>
      <c r="Q45" s="23"/>
      <c r="R45" s="22"/>
      <c r="S45" s="22"/>
      <c r="T45" s="22"/>
      <c r="U45" s="22"/>
      <c r="V45" s="22"/>
      <c r="W45" s="22"/>
    </row>
    <row r="46" customFormat="false" ht="23.85" hidden="false" customHeight="false" outlineLevel="0" collapsed="false">
      <c r="A46" s="20" t="n">
        <v>42</v>
      </c>
      <c r="B46" s="5" t="s">
        <v>164</v>
      </c>
      <c r="C46" s="20" t="s">
        <v>90</v>
      </c>
      <c r="D46" s="20" t="s">
        <v>79</v>
      </c>
      <c r="E46" s="20" t="s">
        <v>79</v>
      </c>
      <c r="F46" s="20"/>
      <c r="G46" s="20" t="s">
        <v>79</v>
      </c>
      <c r="H46" s="20" t="n">
        <f aca="false">COUNTIF(D46:G46,"Y")</f>
        <v>3</v>
      </c>
      <c r="I46" s="5" t="s">
        <v>80</v>
      </c>
      <c r="J46" s="5"/>
      <c r="K46" s="21"/>
      <c r="L46" s="20"/>
      <c r="M46" s="22"/>
      <c r="N46" s="22"/>
      <c r="O46" s="23"/>
      <c r="P46" s="23"/>
      <c r="Q46" s="23"/>
      <c r="R46" s="22"/>
      <c r="S46" s="22"/>
      <c r="T46" s="22"/>
      <c r="U46" s="22"/>
      <c r="V46" s="22"/>
      <c r="W46" s="22"/>
    </row>
    <row r="47" customFormat="false" ht="23.85" hidden="false" customHeight="false" outlineLevel="0" collapsed="false">
      <c r="A47" s="20" t="n">
        <v>43</v>
      </c>
      <c r="B47" s="5" t="s">
        <v>165</v>
      </c>
      <c r="C47" s="20" t="s">
        <v>92</v>
      </c>
      <c r="D47" s="20" t="s">
        <v>79</v>
      </c>
      <c r="E47" s="20"/>
      <c r="F47" s="20"/>
      <c r="G47" s="20" t="s">
        <v>79</v>
      </c>
      <c r="H47" s="20" t="n">
        <f aca="false">COUNTIF(D47:G47,"Y")</f>
        <v>2</v>
      </c>
      <c r="I47" s="5" t="s">
        <v>80</v>
      </c>
      <c r="J47" s="5"/>
      <c r="K47" s="21"/>
      <c r="L47" s="20"/>
      <c r="M47" s="22"/>
      <c r="N47" s="22"/>
      <c r="O47" s="23"/>
      <c r="P47" s="23"/>
      <c r="Q47" s="23"/>
      <c r="R47" s="22"/>
      <c r="S47" s="22"/>
      <c r="T47" s="22"/>
      <c r="U47" s="22"/>
      <c r="V47" s="22"/>
      <c r="W47" s="22"/>
    </row>
    <row r="48" customFormat="false" ht="35.05" hidden="false" customHeight="false" outlineLevel="0" collapsed="false">
      <c r="A48" s="20" t="n">
        <v>44</v>
      </c>
      <c r="B48" s="5" t="s">
        <v>166</v>
      </c>
      <c r="C48" s="20" t="s">
        <v>97</v>
      </c>
      <c r="D48" s="20" t="s">
        <v>79</v>
      </c>
      <c r="E48" s="20"/>
      <c r="F48" s="20"/>
      <c r="G48" s="20" t="s">
        <v>79</v>
      </c>
      <c r="H48" s="20" t="n">
        <f aca="false">COUNTIF(D48:G48,"Y")</f>
        <v>2</v>
      </c>
      <c r="I48" s="5" t="s">
        <v>80</v>
      </c>
      <c r="J48" s="5" t="s">
        <v>167</v>
      </c>
      <c r="K48" s="21"/>
      <c r="L48" s="20" t="s">
        <v>168</v>
      </c>
      <c r="M48" s="22"/>
      <c r="N48" s="22"/>
      <c r="O48" s="23"/>
      <c r="P48" s="23"/>
      <c r="Q48" s="23"/>
      <c r="R48" s="22"/>
      <c r="S48" s="22"/>
      <c r="T48" s="22"/>
      <c r="U48" s="22"/>
      <c r="V48" s="22"/>
      <c r="W48" s="22"/>
    </row>
    <row r="49" customFormat="false" ht="23.85" hidden="false" customHeight="false" outlineLevel="0" collapsed="false">
      <c r="A49" s="20" t="n">
        <v>45</v>
      </c>
      <c r="B49" s="5" t="s">
        <v>169</v>
      </c>
      <c r="C49" s="20" t="s">
        <v>78</v>
      </c>
      <c r="D49" s="20" t="s">
        <v>79</v>
      </c>
      <c r="E49" s="20" t="s">
        <v>79</v>
      </c>
      <c r="F49" s="20"/>
      <c r="G49" s="20" t="s">
        <v>79</v>
      </c>
      <c r="H49" s="20" t="n">
        <f aca="false">COUNTIF(D49:G49,"Y")</f>
        <v>3</v>
      </c>
      <c r="I49" s="5" t="s">
        <v>80</v>
      </c>
      <c r="J49" s="5"/>
      <c r="K49" s="21"/>
      <c r="L49" s="20"/>
      <c r="M49" s="22"/>
      <c r="N49" s="22"/>
      <c r="O49" s="23"/>
      <c r="P49" s="23"/>
      <c r="Q49" s="23"/>
      <c r="R49" s="22"/>
      <c r="S49" s="22"/>
      <c r="T49" s="22"/>
      <c r="U49" s="22"/>
      <c r="V49" s="22"/>
      <c r="W49" s="22"/>
    </row>
    <row r="50" customFormat="false" ht="23.85" hidden="false" customHeight="false" outlineLevel="0" collapsed="false">
      <c r="A50" s="20" t="n">
        <v>46</v>
      </c>
      <c r="B50" s="5" t="s">
        <v>170</v>
      </c>
      <c r="C50" s="20" t="s">
        <v>90</v>
      </c>
      <c r="D50" s="20" t="s">
        <v>79</v>
      </c>
      <c r="E50" s="20" t="s">
        <v>79</v>
      </c>
      <c r="F50" s="20"/>
      <c r="G50" s="20"/>
      <c r="H50" s="20" t="n">
        <f aca="false">COUNTIF(D50:G50,"Y")</f>
        <v>2</v>
      </c>
      <c r="I50" s="5" t="s">
        <v>80</v>
      </c>
      <c r="J50" s="5" t="s">
        <v>171</v>
      </c>
      <c r="K50" s="21"/>
      <c r="L50" s="20"/>
      <c r="M50" s="22"/>
      <c r="N50" s="22"/>
      <c r="O50" s="23"/>
      <c r="P50" s="23"/>
      <c r="Q50" s="23"/>
      <c r="R50" s="22"/>
      <c r="S50" s="22"/>
      <c r="T50" s="22"/>
      <c r="U50" s="22"/>
      <c r="V50" s="22"/>
      <c r="W50" s="22"/>
    </row>
    <row r="51" customFormat="false" ht="23.85" hidden="false" customHeight="false" outlineLevel="0" collapsed="false">
      <c r="A51" s="20" t="n">
        <v>47</v>
      </c>
      <c r="B51" s="5" t="s">
        <v>172</v>
      </c>
      <c r="C51" s="20" t="s">
        <v>78</v>
      </c>
      <c r="D51" s="20"/>
      <c r="E51" s="20" t="s">
        <v>79</v>
      </c>
      <c r="F51" s="20"/>
      <c r="G51" s="20"/>
      <c r="H51" s="20" t="n">
        <f aca="false">COUNTIF(D51:G51,"Y")</f>
        <v>1</v>
      </c>
      <c r="I51" s="5" t="s">
        <v>80</v>
      </c>
      <c r="J51" s="5" t="s">
        <v>173</v>
      </c>
      <c r="K51" s="21"/>
      <c r="L51" s="20"/>
      <c r="M51" s="22"/>
      <c r="N51" s="22"/>
      <c r="O51" s="23"/>
      <c r="P51" s="23"/>
      <c r="Q51" s="23"/>
      <c r="R51" s="22"/>
      <c r="S51" s="22"/>
      <c r="T51" s="22"/>
      <c r="U51" s="22"/>
      <c r="V51" s="22"/>
      <c r="W51" s="22"/>
    </row>
    <row r="52" customFormat="false" ht="23.85" hidden="false" customHeight="false" outlineLevel="0" collapsed="false">
      <c r="A52" s="20" t="n">
        <v>48</v>
      </c>
      <c r="B52" s="5" t="s">
        <v>174</v>
      </c>
      <c r="C52" s="20" t="s">
        <v>100</v>
      </c>
      <c r="D52" s="20"/>
      <c r="E52" s="20"/>
      <c r="F52" s="20" t="s">
        <v>79</v>
      </c>
      <c r="G52" s="20" t="s">
        <v>79</v>
      </c>
      <c r="H52" s="20" t="n">
        <f aca="false">COUNTIF(D52:G52,"Y")</f>
        <v>2</v>
      </c>
      <c r="I52" s="5" t="s">
        <v>80</v>
      </c>
      <c r="J52" s="5"/>
      <c r="K52" s="21"/>
      <c r="L52" s="20"/>
      <c r="M52" s="22"/>
      <c r="N52" s="22"/>
      <c r="O52" s="23"/>
      <c r="P52" s="23"/>
      <c r="Q52" s="23"/>
      <c r="R52" s="22"/>
      <c r="S52" s="22"/>
      <c r="T52" s="22"/>
      <c r="U52" s="22"/>
      <c r="V52" s="22"/>
      <c r="W52" s="22"/>
    </row>
    <row r="53" customFormat="false" ht="23.85" hidden="false" customHeight="false" outlineLevel="0" collapsed="false">
      <c r="A53" s="20" t="n">
        <v>49</v>
      </c>
      <c r="B53" s="5" t="s">
        <v>175</v>
      </c>
      <c r="C53" s="20" t="s">
        <v>92</v>
      </c>
      <c r="D53" s="20"/>
      <c r="E53" s="20"/>
      <c r="F53" s="20" t="s">
        <v>79</v>
      </c>
      <c r="G53" s="20" t="s">
        <v>79</v>
      </c>
      <c r="H53" s="20" t="n">
        <f aca="false">COUNTIF(D53:G53,"Y")</f>
        <v>2</v>
      </c>
      <c r="I53" s="5" t="s">
        <v>80</v>
      </c>
      <c r="J53" s="5" t="s">
        <v>176</v>
      </c>
      <c r="K53" s="21"/>
      <c r="L53" s="20"/>
      <c r="M53" s="22"/>
      <c r="N53" s="22"/>
      <c r="O53" s="23"/>
      <c r="P53" s="23"/>
      <c r="Q53" s="23"/>
      <c r="R53" s="22"/>
      <c r="S53" s="22"/>
      <c r="T53" s="22"/>
      <c r="U53" s="22"/>
      <c r="V53" s="22"/>
      <c r="W53" s="22"/>
    </row>
    <row r="54" customFormat="false" ht="23.85" hidden="false" customHeight="false" outlineLevel="0" collapsed="false">
      <c r="A54" s="20" t="n">
        <v>50</v>
      </c>
      <c r="B54" s="5" t="s">
        <v>177</v>
      </c>
      <c r="C54" s="20" t="s">
        <v>144</v>
      </c>
      <c r="D54" s="20"/>
      <c r="E54" s="20"/>
      <c r="F54" s="20"/>
      <c r="G54" s="20" t="s">
        <v>79</v>
      </c>
      <c r="H54" s="20" t="n">
        <f aca="false">COUNTIF(D54:G54,"Y")</f>
        <v>1</v>
      </c>
      <c r="I54" s="5" t="s">
        <v>80</v>
      </c>
      <c r="J54" s="5" t="s">
        <v>178</v>
      </c>
      <c r="K54" s="21"/>
      <c r="L54" s="20"/>
      <c r="M54" s="22"/>
      <c r="N54" s="22"/>
      <c r="O54" s="23"/>
      <c r="P54" s="23"/>
      <c r="Q54" s="23"/>
      <c r="R54" s="22"/>
      <c r="S54" s="22"/>
      <c r="T54" s="22"/>
      <c r="U54" s="22"/>
      <c r="V54" s="22"/>
      <c r="W54" s="22"/>
    </row>
    <row r="55" customFormat="false" ht="23.85" hidden="false" customHeight="false" outlineLevel="0" collapsed="false">
      <c r="A55" s="24" t="n">
        <v>51</v>
      </c>
      <c r="B55" s="25" t="s">
        <v>179</v>
      </c>
      <c r="C55" s="24" t="s">
        <v>148</v>
      </c>
      <c r="D55" s="24" t="s">
        <v>79</v>
      </c>
      <c r="E55" s="24" t="s">
        <v>79</v>
      </c>
      <c r="F55" s="24" t="s">
        <v>79</v>
      </c>
      <c r="G55" s="24" t="s">
        <v>79</v>
      </c>
      <c r="H55" s="24" t="n">
        <f aca="false">COUNTIF(D55:G55,"Y")</f>
        <v>4</v>
      </c>
      <c r="I55" s="25" t="s">
        <v>180</v>
      </c>
      <c r="J55" s="25" t="s">
        <v>181</v>
      </c>
      <c r="K55" s="26"/>
      <c r="L55" s="24"/>
      <c r="M55" s="22"/>
      <c r="N55" s="22" t="s">
        <v>182</v>
      </c>
      <c r="O55" s="23" t="s">
        <v>183</v>
      </c>
      <c r="P55" s="23"/>
      <c r="Q55" s="23"/>
      <c r="R55" s="22"/>
      <c r="S55" s="22"/>
      <c r="T55" s="22"/>
      <c r="U55" s="22"/>
      <c r="V55" s="22"/>
      <c r="W55" s="22"/>
    </row>
    <row r="56" customFormat="false" ht="23.85" hidden="false" customHeight="false" outlineLevel="0" collapsed="false">
      <c r="A56" s="24" t="n">
        <v>52</v>
      </c>
      <c r="B56" s="25" t="s">
        <v>184</v>
      </c>
      <c r="C56" s="24" t="s">
        <v>84</v>
      </c>
      <c r="D56" s="24" t="s">
        <v>79</v>
      </c>
      <c r="E56" s="24" t="s">
        <v>79</v>
      </c>
      <c r="F56" s="24"/>
      <c r="G56" s="24" t="s">
        <v>79</v>
      </c>
      <c r="H56" s="24" t="n">
        <f aca="false">COUNTIF(D56:G56,"Y")</f>
        <v>3</v>
      </c>
      <c r="I56" s="25" t="s">
        <v>180</v>
      </c>
      <c r="J56" s="25" t="s">
        <v>185</v>
      </c>
      <c r="K56" s="26"/>
      <c r="L56" s="24"/>
      <c r="M56" s="22"/>
      <c r="N56" s="22" t="s">
        <v>182</v>
      </c>
      <c r="O56" s="23" t="s">
        <v>186</v>
      </c>
      <c r="P56" s="23"/>
      <c r="Q56" s="23"/>
      <c r="R56" s="22"/>
      <c r="S56" s="22"/>
      <c r="T56" s="22"/>
      <c r="U56" s="22"/>
      <c r="V56" s="22"/>
      <c r="W56" s="22"/>
    </row>
    <row r="57" customFormat="false" ht="23.85" hidden="false" customHeight="false" outlineLevel="0" collapsed="false">
      <c r="A57" s="24" t="n">
        <v>53</v>
      </c>
      <c r="B57" s="25" t="s">
        <v>187</v>
      </c>
      <c r="C57" s="24" t="s">
        <v>97</v>
      </c>
      <c r="D57" s="24" t="s">
        <v>79</v>
      </c>
      <c r="E57" s="24"/>
      <c r="F57" s="24" t="s">
        <v>79</v>
      </c>
      <c r="G57" s="24" t="s">
        <v>79</v>
      </c>
      <c r="H57" s="24" t="n">
        <f aca="false">COUNTIF(D57:G57,"Y")</f>
        <v>3</v>
      </c>
      <c r="I57" s="25" t="s">
        <v>180</v>
      </c>
      <c r="J57" s="25" t="s">
        <v>188</v>
      </c>
      <c r="K57" s="26"/>
      <c r="L57" s="24"/>
      <c r="M57" s="22"/>
      <c r="N57" s="22" t="s">
        <v>182</v>
      </c>
      <c r="O57" s="23" t="s">
        <v>188</v>
      </c>
      <c r="P57" s="23"/>
      <c r="Q57" s="23"/>
      <c r="R57" s="22"/>
      <c r="S57" s="22"/>
      <c r="T57" s="22"/>
      <c r="U57" s="22"/>
      <c r="V57" s="22"/>
      <c r="W57" s="22"/>
    </row>
    <row r="58" customFormat="false" ht="23.85" hidden="false" customHeight="false" outlineLevel="0" collapsed="false">
      <c r="A58" s="24" t="n">
        <v>54</v>
      </c>
      <c r="B58" s="25" t="s">
        <v>189</v>
      </c>
      <c r="C58" s="24" t="s">
        <v>92</v>
      </c>
      <c r="D58" s="24" t="s">
        <v>79</v>
      </c>
      <c r="E58" s="24"/>
      <c r="F58" s="24" t="s">
        <v>79</v>
      </c>
      <c r="G58" s="24" t="s">
        <v>79</v>
      </c>
      <c r="H58" s="24" t="n">
        <f aca="false">COUNTIF(D58:G58,"Y")</f>
        <v>3</v>
      </c>
      <c r="I58" s="25" t="s">
        <v>180</v>
      </c>
      <c r="J58" s="25" t="s">
        <v>188</v>
      </c>
      <c r="K58" s="26"/>
      <c r="L58" s="24"/>
      <c r="M58" s="22"/>
      <c r="N58" s="22" t="s">
        <v>182</v>
      </c>
      <c r="O58" s="23" t="s">
        <v>188</v>
      </c>
      <c r="P58" s="23"/>
      <c r="Q58" s="23"/>
      <c r="R58" s="22"/>
      <c r="S58" s="22"/>
      <c r="T58" s="22"/>
      <c r="U58" s="22"/>
      <c r="V58" s="22"/>
      <c r="W58" s="22"/>
    </row>
    <row r="59" customFormat="false" ht="23.85" hidden="false" customHeight="false" outlineLevel="0" collapsed="false">
      <c r="A59" s="24" t="n">
        <v>55</v>
      </c>
      <c r="B59" s="25" t="s">
        <v>190</v>
      </c>
      <c r="C59" s="24" t="s">
        <v>84</v>
      </c>
      <c r="D59" s="24"/>
      <c r="E59" s="24"/>
      <c r="F59" s="24" t="s">
        <v>79</v>
      </c>
      <c r="G59" s="24" t="s">
        <v>79</v>
      </c>
      <c r="H59" s="24" t="n">
        <f aca="false">COUNTIF(D59:G59,"Y")</f>
        <v>2</v>
      </c>
      <c r="I59" s="25" t="s">
        <v>180</v>
      </c>
      <c r="J59" s="25" t="s">
        <v>188</v>
      </c>
      <c r="K59" s="26"/>
      <c r="L59" s="24"/>
      <c r="M59" s="22"/>
      <c r="N59" s="22" t="s">
        <v>182</v>
      </c>
      <c r="O59" s="23" t="s">
        <v>188</v>
      </c>
      <c r="P59" s="23"/>
      <c r="Q59" s="23"/>
      <c r="R59" s="22"/>
      <c r="S59" s="22"/>
      <c r="T59" s="22"/>
      <c r="U59" s="22"/>
      <c r="V59" s="22"/>
      <c r="W59" s="22"/>
    </row>
    <row r="60" customFormat="false" ht="23.85" hidden="false" customHeight="false" outlineLevel="0" collapsed="false">
      <c r="A60" s="24" t="n">
        <v>56</v>
      </c>
      <c r="B60" s="25" t="s">
        <v>191</v>
      </c>
      <c r="C60" s="24" t="s">
        <v>92</v>
      </c>
      <c r="D60" s="24" t="s">
        <v>79</v>
      </c>
      <c r="E60" s="24"/>
      <c r="F60" s="24"/>
      <c r="G60" s="24"/>
      <c r="H60" s="24" t="n">
        <f aca="false">COUNTIF(D60:G60,"Y")</f>
        <v>1</v>
      </c>
      <c r="I60" s="25" t="s">
        <v>180</v>
      </c>
      <c r="J60" s="25" t="s">
        <v>192</v>
      </c>
      <c r="K60" s="26"/>
      <c r="L60" s="24"/>
      <c r="M60" s="22"/>
      <c r="N60" s="22" t="s">
        <v>182</v>
      </c>
      <c r="O60" s="23" t="s">
        <v>192</v>
      </c>
      <c r="P60" s="23"/>
      <c r="Q60" s="23"/>
      <c r="R60" s="22"/>
      <c r="S60" s="22"/>
      <c r="T60" s="22"/>
      <c r="U60" s="22"/>
      <c r="V60" s="22"/>
      <c r="W60" s="22"/>
    </row>
    <row r="61" customFormat="false" ht="35.05" hidden="false" customHeight="false" outlineLevel="0" collapsed="false">
      <c r="A61" s="24" t="n">
        <v>57</v>
      </c>
      <c r="B61" s="25" t="s">
        <v>193</v>
      </c>
      <c r="C61" s="24" t="s">
        <v>84</v>
      </c>
      <c r="D61" s="24" t="s">
        <v>79</v>
      </c>
      <c r="E61" s="24" t="s">
        <v>79</v>
      </c>
      <c r="F61" s="24"/>
      <c r="G61" s="24" t="s">
        <v>79</v>
      </c>
      <c r="H61" s="24" t="n">
        <f aca="false">COUNTIF(D61:G61,"Y")</f>
        <v>3</v>
      </c>
      <c r="I61" s="25" t="s">
        <v>180</v>
      </c>
      <c r="J61" s="25" t="s">
        <v>194</v>
      </c>
      <c r="K61" s="26"/>
      <c r="L61" s="24"/>
      <c r="M61" s="22"/>
      <c r="N61" s="22" t="s">
        <v>182</v>
      </c>
      <c r="O61" s="23" t="s">
        <v>194</v>
      </c>
      <c r="P61" s="23"/>
      <c r="Q61" s="23"/>
      <c r="R61" s="22"/>
      <c r="S61" s="22"/>
      <c r="T61" s="22"/>
      <c r="U61" s="22"/>
      <c r="V61" s="22"/>
      <c r="W61" s="22"/>
    </row>
    <row r="62" customFormat="false" ht="15" hidden="false" customHeight="false" outlineLevel="0" collapsed="false">
      <c r="A62" s="24" t="n">
        <v>58</v>
      </c>
      <c r="B62" s="25" t="s">
        <v>195</v>
      </c>
      <c r="C62" s="24" t="s">
        <v>100</v>
      </c>
      <c r="D62" s="24"/>
      <c r="E62" s="24"/>
      <c r="F62" s="24"/>
      <c r="G62" s="24" t="s">
        <v>79</v>
      </c>
      <c r="H62" s="24" t="n">
        <f aca="false">COUNTIF(D62:G62,"Y")</f>
        <v>1</v>
      </c>
      <c r="I62" s="25" t="s">
        <v>180</v>
      </c>
      <c r="J62" s="25" t="s">
        <v>181</v>
      </c>
      <c r="K62" s="26"/>
      <c r="L62" s="24"/>
      <c r="M62" s="22"/>
      <c r="N62" s="22" t="s">
        <v>182</v>
      </c>
      <c r="O62" s="23" t="s">
        <v>183</v>
      </c>
      <c r="P62" s="23"/>
      <c r="Q62" s="23"/>
      <c r="R62" s="22"/>
      <c r="S62" s="22"/>
      <c r="T62" s="22"/>
      <c r="U62" s="22"/>
      <c r="V62" s="22"/>
      <c r="W62" s="22"/>
    </row>
    <row r="63" customFormat="false" ht="23.85" hidden="false" customHeight="false" outlineLevel="0" collapsed="false">
      <c r="A63" s="24" t="n">
        <v>59</v>
      </c>
      <c r="B63" s="25" t="s">
        <v>196</v>
      </c>
      <c r="C63" s="24" t="s">
        <v>78</v>
      </c>
      <c r="D63" s="24"/>
      <c r="E63" s="24"/>
      <c r="F63" s="24"/>
      <c r="G63" s="24" t="s">
        <v>79</v>
      </c>
      <c r="H63" s="24" t="n">
        <f aca="false">COUNTIF(D63:G63,"Y")</f>
        <v>1</v>
      </c>
      <c r="I63" s="25" t="s">
        <v>180</v>
      </c>
      <c r="J63" s="25" t="s">
        <v>197</v>
      </c>
      <c r="K63" s="26"/>
      <c r="L63" s="24"/>
      <c r="M63" s="22"/>
      <c r="N63" s="22" t="s">
        <v>182</v>
      </c>
      <c r="O63" s="23" t="s">
        <v>197</v>
      </c>
      <c r="P63" s="23"/>
      <c r="Q63" s="23"/>
      <c r="R63" s="22"/>
      <c r="S63" s="22"/>
      <c r="T63" s="22"/>
      <c r="U63" s="22"/>
      <c r="V63" s="22"/>
      <c r="W63" s="22"/>
    </row>
    <row r="64" customFormat="false" ht="23.85" hidden="false" customHeight="false" outlineLevel="0" collapsed="false">
      <c r="A64" s="24" t="n">
        <v>60</v>
      </c>
      <c r="B64" s="25" t="s">
        <v>198</v>
      </c>
      <c r="C64" s="24" t="s">
        <v>100</v>
      </c>
      <c r="D64" s="24"/>
      <c r="E64" s="24"/>
      <c r="F64" s="24"/>
      <c r="G64" s="24" t="s">
        <v>79</v>
      </c>
      <c r="H64" s="24" t="n">
        <f aca="false">COUNTIF(D64:G64,"Y")</f>
        <v>1</v>
      </c>
      <c r="I64" s="25" t="s">
        <v>180</v>
      </c>
      <c r="J64" s="25" t="s">
        <v>199</v>
      </c>
      <c r="K64" s="26"/>
      <c r="L64" s="24"/>
      <c r="M64" s="22"/>
      <c r="N64" s="22" t="s">
        <v>182</v>
      </c>
      <c r="O64" s="23" t="s">
        <v>199</v>
      </c>
      <c r="P64" s="23"/>
      <c r="Q64" s="23"/>
      <c r="R64" s="22"/>
      <c r="S64" s="22"/>
      <c r="T64" s="22"/>
      <c r="U64" s="22"/>
      <c r="V64" s="22"/>
      <c r="W64" s="22"/>
    </row>
    <row r="65" customFormat="false" ht="35.05" hidden="false" customHeight="false" outlineLevel="0" collapsed="false">
      <c r="A65" s="24" t="n">
        <v>61</v>
      </c>
      <c r="B65" s="25" t="s">
        <v>200</v>
      </c>
      <c r="C65" s="24" t="s">
        <v>97</v>
      </c>
      <c r="D65" s="24"/>
      <c r="E65" s="24"/>
      <c r="F65" s="24"/>
      <c r="G65" s="24" t="s">
        <v>79</v>
      </c>
      <c r="H65" s="24" t="n">
        <f aca="false">COUNTIF(D65:G65,"Y")</f>
        <v>1</v>
      </c>
      <c r="I65" s="25" t="s">
        <v>180</v>
      </c>
      <c r="J65" s="25" t="s">
        <v>201</v>
      </c>
      <c r="K65" s="26"/>
      <c r="L65" s="24"/>
      <c r="M65" s="22"/>
      <c r="N65" s="22" t="s">
        <v>182</v>
      </c>
      <c r="O65" s="23" t="s">
        <v>201</v>
      </c>
      <c r="P65" s="23"/>
      <c r="Q65" s="23"/>
      <c r="R65" s="22"/>
      <c r="S65" s="22"/>
      <c r="T65" s="22"/>
      <c r="U65" s="22"/>
      <c r="V65" s="22"/>
      <c r="W65" s="22"/>
    </row>
  </sheetData>
  <autoFilter ref="A4:W65"/>
  <mergeCells count="1">
    <mergeCell ref="A2:W2"/>
  </mergeCells>
  <dataValidations count="3">
    <dataValidation allowBlank="true" errorStyle="stop" operator="between" showDropDown="false" showErrorMessage="false" showInputMessage="false" sqref="M5:M65" type="list">
      <formula1>"Y,N"</formula1>
      <formula2>0</formula2>
    </dataValidation>
    <dataValidation allowBlank="true" errorStyle="stop" operator="between" showDropDown="false" showErrorMessage="false" showInputMessage="false" sqref="N5:N65" type="list">
      <formula1>"Include,Exclude"</formula1>
      <formula2>0</formula2>
    </dataValidation>
    <dataValidation allowBlank="true" errorStyle="stop" operator="between" showDropDown="false" showErrorMessage="false" showInputMessage="false" sqref="R5:W65" type="list">
      <formula1>"Y"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0"/>
    <col collapsed="false" customWidth="true" hidden="false" outlineLevel="0" max="3" min="3" style="0" width="30"/>
    <col collapsed="false" customWidth="true" hidden="false" outlineLevel="0" max="4" min="4" style="0" width="11"/>
    <col collapsed="false" customWidth="true" hidden="false" outlineLevel="0" max="5" min="5" style="0" width="30"/>
    <col collapsed="false" customWidth="true" hidden="false" outlineLevel="0" max="6" min="6" style="0" width="34"/>
  </cols>
  <sheetData>
    <row r="1" customFormat="false" ht="17.35" hidden="false" customHeight="false" outlineLevel="0" collapsed="false">
      <c r="A1" s="1" t="s">
        <v>202</v>
      </c>
    </row>
    <row r="2" customFormat="false" ht="30" hidden="false" customHeight="true" outlineLevel="0" collapsed="false">
      <c r="A2" s="27" t="s">
        <v>203</v>
      </c>
      <c r="B2" s="27"/>
      <c r="C2" s="27"/>
      <c r="D2" s="27"/>
      <c r="E2" s="27"/>
      <c r="F2" s="27"/>
    </row>
    <row r="4" customFormat="false" ht="15" hidden="false" customHeight="false" outlineLevel="0" collapsed="false">
      <c r="A4" s="13" t="s">
        <v>61</v>
      </c>
      <c r="B4" s="13" t="s">
        <v>204</v>
      </c>
      <c r="C4" s="13" t="s">
        <v>205</v>
      </c>
      <c r="D4" s="13" t="s">
        <v>206</v>
      </c>
      <c r="E4" s="13" t="s">
        <v>207</v>
      </c>
      <c r="F4" s="13" t="s">
        <v>106</v>
      </c>
    </row>
    <row r="5" customFormat="false" ht="23.85" hidden="false" customHeight="false" outlineLevel="0" collapsed="false">
      <c r="A5" s="20" t="n">
        <v>1</v>
      </c>
      <c r="B5" s="5" t="s">
        <v>208</v>
      </c>
      <c r="C5" s="5" t="s">
        <v>209</v>
      </c>
      <c r="D5" s="20" t="s">
        <v>210</v>
      </c>
      <c r="E5" s="5" t="s">
        <v>211</v>
      </c>
      <c r="F5" s="5"/>
    </row>
    <row r="6" customFormat="false" ht="35.05" hidden="false" customHeight="false" outlineLevel="0" collapsed="false">
      <c r="A6" s="20" t="n">
        <v>2</v>
      </c>
      <c r="B6" s="5" t="s">
        <v>212</v>
      </c>
      <c r="C6" s="5" t="s">
        <v>213</v>
      </c>
      <c r="D6" s="20" t="s">
        <v>214</v>
      </c>
      <c r="E6" s="5" t="s">
        <v>215</v>
      </c>
      <c r="F6" s="5" t="s">
        <v>216</v>
      </c>
    </row>
    <row r="7" customFormat="false" ht="35.05" hidden="false" customHeight="false" outlineLevel="0" collapsed="false">
      <c r="A7" s="20" t="n">
        <v>3</v>
      </c>
      <c r="B7" s="5" t="s">
        <v>217</v>
      </c>
      <c r="C7" s="5" t="s">
        <v>218</v>
      </c>
      <c r="D7" s="20" t="s">
        <v>219</v>
      </c>
      <c r="E7" s="5" t="s">
        <v>220</v>
      </c>
      <c r="F7" s="5" t="s">
        <v>221</v>
      </c>
    </row>
    <row r="8" customFormat="false" ht="35.05" hidden="false" customHeight="false" outlineLevel="0" collapsed="false">
      <c r="A8" s="20" t="n">
        <v>4</v>
      </c>
      <c r="B8" s="5" t="s">
        <v>222</v>
      </c>
      <c r="C8" s="5" t="s">
        <v>223</v>
      </c>
      <c r="D8" s="20"/>
      <c r="E8" s="5" t="s">
        <v>224</v>
      </c>
      <c r="F8" s="21" t="s">
        <v>225</v>
      </c>
    </row>
    <row r="9" customFormat="false" ht="35.05" hidden="false" customHeight="false" outlineLevel="0" collapsed="false">
      <c r="A9" s="20" t="n">
        <v>5</v>
      </c>
      <c r="B9" s="5" t="s">
        <v>226</v>
      </c>
      <c r="C9" s="5" t="s">
        <v>227</v>
      </c>
      <c r="D9" s="20" t="s">
        <v>228</v>
      </c>
      <c r="E9" s="5" t="s">
        <v>229</v>
      </c>
      <c r="F9" s="5" t="s">
        <v>230</v>
      </c>
    </row>
    <row r="10" customFormat="false" ht="35.05" hidden="false" customHeight="false" outlineLevel="0" collapsed="false">
      <c r="A10" s="20" t="n">
        <v>6</v>
      </c>
      <c r="B10" s="5" t="s">
        <v>231</v>
      </c>
      <c r="C10" s="5" t="s">
        <v>232</v>
      </c>
      <c r="D10" s="20" t="s">
        <v>233</v>
      </c>
      <c r="E10" s="5" t="s">
        <v>234</v>
      </c>
      <c r="F10" s="5" t="s">
        <v>235</v>
      </c>
    </row>
    <row r="11" customFormat="false" ht="35.05" hidden="false" customHeight="false" outlineLevel="0" collapsed="false">
      <c r="A11" s="20" t="n">
        <v>7</v>
      </c>
      <c r="B11" s="5" t="s">
        <v>236</v>
      </c>
      <c r="C11" s="5" t="s">
        <v>237</v>
      </c>
      <c r="D11" s="20" t="s">
        <v>238</v>
      </c>
      <c r="E11" s="5" t="s">
        <v>239</v>
      </c>
      <c r="F11" s="5" t="s">
        <v>240</v>
      </c>
    </row>
    <row r="12" customFormat="false" ht="35.05" hidden="false" customHeight="false" outlineLevel="0" collapsed="false">
      <c r="A12" s="20" t="n">
        <v>8</v>
      </c>
      <c r="B12" s="5" t="s">
        <v>241</v>
      </c>
      <c r="C12" s="5" t="s">
        <v>242</v>
      </c>
      <c r="D12" s="20" t="s">
        <v>243</v>
      </c>
      <c r="E12" s="5" t="s">
        <v>52</v>
      </c>
      <c r="F12" s="5" t="s">
        <v>244</v>
      </c>
    </row>
    <row r="13" customFormat="false" ht="23.85" hidden="false" customHeight="false" outlineLevel="0" collapsed="false">
      <c r="A13" s="20" t="n">
        <v>9</v>
      </c>
      <c r="B13" s="5" t="s">
        <v>245</v>
      </c>
      <c r="C13" s="5" t="s">
        <v>246</v>
      </c>
      <c r="D13" s="20" t="s">
        <v>247</v>
      </c>
      <c r="E13" s="5" t="s">
        <v>248</v>
      </c>
      <c r="F13" s="5" t="s">
        <v>249</v>
      </c>
    </row>
    <row r="14" customFormat="false" ht="35.05" hidden="false" customHeight="false" outlineLevel="0" collapsed="false">
      <c r="A14" s="20" t="n">
        <v>10</v>
      </c>
      <c r="B14" s="5" t="s">
        <v>250</v>
      </c>
      <c r="C14" s="5" t="s">
        <v>251</v>
      </c>
      <c r="D14" s="20" t="s">
        <v>252</v>
      </c>
      <c r="E14" s="5" t="s">
        <v>253</v>
      </c>
      <c r="F14" s="5"/>
    </row>
    <row r="15" customFormat="false" ht="23.85" hidden="false" customHeight="false" outlineLevel="0" collapsed="false">
      <c r="A15" s="20" t="n">
        <v>11</v>
      </c>
      <c r="B15" s="5" t="s">
        <v>254</v>
      </c>
      <c r="C15" s="5" t="s">
        <v>255</v>
      </c>
      <c r="D15" s="20"/>
      <c r="E15" s="5" t="s">
        <v>256</v>
      </c>
      <c r="F15" s="5"/>
    </row>
    <row r="16" customFormat="false" ht="23.85" hidden="false" customHeight="false" outlineLevel="0" collapsed="false">
      <c r="A16" s="20" t="n">
        <v>12</v>
      </c>
      <c r="B16" s="5" t="s">
        <v>257</v>
      </c>
      <c r="C16" s="5" t="s">
        <v>258</v>
      </c>
      <c r="D16" s="20" t="s">
        <v>259</v>
      </c>
      <c r="E16" s="5" t="s">
        <v>260</v>
      </c>
      <c r="F16" s="5"/>
    </row>
    <row r="17" customFormat="false" ht="23.85" hidden="false" customHeight="false" outlineLevel="0" collapsed="false">
      <c r="A17" s="20" t="n">
        <v>13</v>
      </c>
      <c r="B17" s="5" t="s">
        <v>261</v>
      </c>
      <c r="C17" s="5" t="s">
        <v>262</v>
      </c>
      <c r="D17" s="20" t="s">
        <v>263</v>
      </c>
      <c r="E17" s="5" t="s">
        <v>264</v>
      </c>
      <c r="F17" s="5"/>
    </row>
    <row r="19" customFormat="false" ht="23.85" hidden="false" customHeight="false" outlineLevel="0" collapsed="false">
      <c r="B19" s="12" t="s">
        <v>265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2026-09-29T16:07:34Z</dcterms:created>
  <dc:creator>openpyxl</dc:creator>
  <dc:description/>
  <dc:language>en-US</dc:language>
  <cp:lastModifiedBy/>
  <dcterms:modified xsi:type="dcterms:W3CDTF">2026-09-29T16:07:34Z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