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Literature Matrix" sheetId="2" state="visible" r:id="rId4"/>
    <sheet name="Summary" sheetId="3" state="visible" r:id="rId5"/>
  </sheets>
  <definedNames>
    <definedName function="false" hidden="false" localSheetId="1" name="_xlnm.Print_Titles" vbProcedure="false">'Literature Matrix'!$3:$4</definedName>
    <definedName function="false" hidden="true" localSheetId="1" name="_xlnm._FilterDatabase" vbProcedure="false">'Literature Matrix'!$A$4:$AB$45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<sst xmlns="http://schemas.openxmlformats.org/spreadsheetml/2006/main" count="1006" uniqueCount="702">
  <si>
    <t xml:space="preserve">Read Me</t>
  </si>
  <si>
    <t xml:space="preserve">Literature matrix for: Burnout, Sleep, and Physiological Recovery in Women (working women and students)</t>
  </si>
  <si>
    <t xml:space="preserve">What this is</t>
  </si>
  <si>
    <t xml:space="preserve">Sheets</t>
  </si>
  <si>
    <t xml:space="preserve">Literature Matrix = one row per source (41). Summary = automatic counts by year, design, variables, and devices, plus the research gap.</t>
  </si>
  <si>
    <t xml:space="preserve">Order</t>
  </si>
  <si>
    <t xml:space="preserve">Rows follow the reference numbers in the literature review (AMA: numbered in order of first citation).</t>
  </si>
  <si>
    <t xml:space="preserve">Sources</t>
  </si>
  <si>
    <t xml:space="preserve">All 41 sources are from 2021–2026 and were checked in PubMed (title, authors, year, DOI). The WHO ICD-11 entry is a web source.</t>
  </si>
  <si>
    <t xml:space="preserve">Where details come from</t>
  </si>
  <si>
    <t xml:space="preserve">The abstract of each paper. For Gilin 2023, Calderón-García 2024, Alzueta 2022, Garcia-Ceja 2026, Hirten 2021, and Oluwadiya 2024, some details were confirmed in the open-access full text.</t>
  </si>
  <si>
    <t xml:space="preserve">Key</t>
  </si>
  <si>
    <t xml:space="preserve">Y</t>
  </si>
  <si>
    <t xml:space="preserve">Yes, the study measured or reported this. Blank = no.</t>
  </si>
  <si>
    <t xml:space="preserve">NR</t>
  </si>
  <si>
    <t xml:space="preserve">Not reported in the abstract. Check the full text if you need it.</t>
  </si>
  <si>
    <t xml:space="preserve">n/a (review)</t>
  </si>
  <si>
    <t xml:space="preserve">Reviews pool many studies, so a single % women does not apply.</t>
  </si>
  <si>
    <t xml:space="preserve">* after a country</t>
  </si>
  <si>
    <t xml:space="preserve">Country of the authors' institution; the abstract does not state where data were collected.</t>
  </si>
  <si>
    <t xml:space="preserve">—</t>
  </si>
  <si>
    <t xml:space="preserve">Not measured / not applicable.</t>
  </si>
  <si>
    <t xml:space="preserve">Women (%)</t>
  </si>
  <si>
    <t xml:space="preserve">Share of women in the sample, stored as a number so you can sort and filter it.</t>
  </si>
  <si>
    <t xml:space="preserve">Consumer wearable</t>
  </si>
  <si>
    <t xml:space="preserve">Commercial device such as Fitbit, Apple Watch, Oura, WHOOP, Garmin, Polar, or Huawei. Research actigraphs and 24-h ECG are not counted.</t>
  </si>
  <si>
    <t xml:space="preserve">Women / sex results</t>
  </si>
  <si>
    <t xml:space="preserve">The study is women-only or reports results separately for women or by sex.</t>
  </si>
  <si>
    <t xml:space="preserve">How to use it</t>
  </si>
  <si>
    <t xml:space="preserve">Filter</t>
  </si>
  <si>
    <t xml:space="preserve">Use the arrows in row 4 of the Literature Matrix. Example: filter “Students” = Y to see the student studies.</t>
  </si>
  <si>
    <t xml:space="preserve">Find the gap</t>
  </si>
  <si>
    <t xml:space="preserve">Filter Burnout, Sleep, HRV / RHR, and Consumer wearable all to Y. Very few studies remain, and none report results for women.</t>
  </si>
  <si>
    <t xml:space="preserve">Relevance column</t>
  </si>
  <si>
    <t xml:space="preserve">These are suggestions. Edit them so they match your own reasoning about each study.</t>
  </si>
  <si>
    <t xml:space="preserve">Links</t>
  </si>
  <si>
    <t xml:space="preserve">PMID cells open PubMed; DOI cells open the article.</t>
  </si>
  <si>
    <t xml:space="preserve">Literature Matrix: Burnout, Sleep, and Physiological Recovery in Women</t>
  </si>
  <si>
    <t xml:space="preserve">41 sources (2021–2026), numbered as in the literature review. Filter any column with the arrows in row 4. See the Read Me sheet for the key.</t>
  </si>
  <si>
    <t xml:space="preserve">Study</t>
  </si>
  <si>
    <t xml:space="preserve">Sample and design</t>
  </si>
  <si>
    <t xml:space="preserve">Variables and measures</t>
  </si>
  <si>
    <t xml:space="preserve">Findings and appraisal</t>
  </si>
  <si>
    <t xml:space="preserve">Coverage (Y = yes)</t>
  </si>
  <si>
    <t xml:space="preserve">Source</t>
  </si>
  <si>
    <t xml:space="preserve">Ref #</t>
  </si>
  <si>
    <t xml:space="preserve">First author</t>
  </si>
  <si>
    <t xml:space="preserve">Year</t>
  </si>
  <si>
    <t xml:space="preserve">Title</t>
  </si>
  <si>
    <t xml:space="preserve">Journal</t>
  </si>
  <si>
    <t xml:space="preserve">Country / setting</t>
  </si>
  <si>
    <t xml:space="preserve">Population</t>
  </si>
  <si>
    <t xml:space="preserve">Sample size (n)</t>
  </si>
  <si>
    <t xml:space="preserve">Study design</t>
  </si>
  <si>
    <t xml:space="preserve">Design type</t>
  </si>
  <si>
    <t xml:space="preserve">Burnout / stress measure</t>
  </si>
  <si>
    <t xml:space="preserve">Sleep measure</t>
  </si>
  <si>
    <t xml:space="preserve">Recovery measure (HRV, RHR, scores)</t>
  </si>
  <si>
    <t xml:space="preserve">Wearable device</t>
  </si>
  <si>
    <t xml:space="preserve">Key findings</t>
  </si>
  <si>
    <t xml:space="preserve">Limitations</t>
  </si>
  <si>
    <t xml:space="preserve">Relevance to my study</t>
  </si>
  <si>
    <t xml:space="preserve">Used in review section(s)</t>
  </si>
  <si>
    <t xml:space="preserve">Burnout measured</t>
  </si>
  <si>
    <t xml:space="preserve">Sleep measured</t>
  </si>
  <si>
    <t xml:space="preserve">HRV / RHR measured</t>
  </si>
  <si>
    <t xml:space="preserve">Students</t>
  </si>
  <si>
    <t xml:space="preserve">PMID</t>
  </si>
  <si>
    <t xml:space="preserve">DOI</t>
  </si>
  <si>
    <t xml:space="preserve">AMA reference</t>
  </si>
  <si>
    <t xml:space="preserve">World Health Organization</t>
  </si>
  <si>
    <t xml:space="preserve">QD85 Burnout. In: ICD-11 for Mortality and Morbidity Statistics. Version 2024-01</t>
  </si>
  <si>
    <t xml:space="preserve">ICD-11 (online)</t>
  </si>
  <si>
    <t xml:space="preserve">International</t>
  </si>
  <si>
    <t xml:space="preserve">Not applicable (classification)</t>
  </si>
  <si>
    <t xml:space="preserve">n/a</t>
  </si>
  <si>
    <t xml:space="preserve">International classification entry (ICD-11 code QD85)</t>
  </si>
  <si>
    <t xml:space="preserve">Other</t>
  </si>
  <si>
    <t xml:space="preserve">Defines burnout (3 dimensions)</t>
  </si>
  <si>
    <t xml:space="preserve">Burnout = syndrome from chronic workplace stress that has not been successfully managed. 3 dimensions: exhaustion; mental distance from the job (cynicism); reduced professional efficacy. Listed under factors influencing health status, not as a medical condition.</t>
  </si>
  <si>
    <t xml:space="preserve">Refers only to the occupational context, so it does not cover students.</t>
  </si>
  <si>
    <t xml:space="preserve">Definition for the introduction; reason to use “academic burnout” for students.</t>
  </si>
  <si>
    <t xml:space="preserve">Introduction</t>
  </si>
  <si>
    <t xml:space="preserve">https://icd.who.int/browse/2024-01/mms/en#129180281</t>
  </si>
  <si>
    <t xml:space="preserve">World Health Organization. QD85 Burnout. In: ICD-11 for Mortality and Morbidity Statistics. Version 2024-01. Accessed October 7, 2026. https://icd.who.int/browse/2024-01/mms/en#129180281</t>
  </si>
  <si>
    <t xml:space="preserve">Gómez-Urquiza et al</t>
  </si>
  <si>
    <t xml:space="preserve">Prevalence and levels of burnout in nursing students: a systematic review with meta-analysis</t>
  </si>
  <si>
    <t xml:space="preserve">Nurse Educ Pract</t>
  </si>
  <si>
    <t xml:space="preserve">Multiple (review)</t>
  </si>
  <si>
    <t xml:space="preserve">Nursing students</t>
  </si>
  <si>
    <t xml:space="preserve">34 studies reviewed; 15 pooled (n = 2744)</t>
  </si>
  <si>
    <t xml:space="preserve">Systematic review and meta-analysis</t>
  </si>
  <si>
    <t xml:space="preserve">Review</t>
  </si>
  <si>
    <t xml:space="preserve">Burnout and its dimensions (emotional exhaustion, depersonalization, personal accomplishment)</t>
  </si>
  <si>
    <t xml:space="preserve">Burnout prevalence 19% (95% CI 11%–28%). High emotional exhaustion 41%, low personal accomplishment 27%, high depersonalization 25%.</t>
  </si>
  <si>
    <t xml:space="preserve">Fewer than half of the reviewed studies could be pooled; nursing students only; estimate lower than Hernández-Mariano 2024 (35%).</t>
  </si>
  <si>
    <t xml:space="preserve">Shows burnout is common in students; emotional exhaustion is the main problem.</t>
  </si>
  <si>
    <t xml:space="preserve">Introduction; Students</t>
  </si>
  <si>
    <t xml:space="preserve">10.1016/j.nepr.2023.103753</t>
  </si>
  <si>
    <r>
      <rPr>
        <sz val="10"/>
        <rFont val="Arial"/>
        <family val="0"/>
        <charset val="1"/>
      </rPr>
      <t xml:space="preserve">Gómez-Urquiza JL, Velando-Soriano A, Membrive-Jiménez MJ, et al. Prevalence and levels of burnout in nursing students: a systematic review with meta-analysis. </t>
    </r>
    <r>
      <rPr>
        <i val="true"/>
        <sz val="10"/>
        <rFont val="Arial"/>
        <family val="0"/>
        <charset val="1"/>
      </rPr>
      <t xml:space="preserve">Nurse Educ Pract</t>
    </r>
    <r>
      <rPr>
        <sz val="10"/>
        <rFont val="Arial"/>
        <family val="0"/>
        <charset val="1"/>
      </rPr>
      <t xml:space="preserve">. 2023;72:103753. doi:10.1016/j.nepr.2023.103753</t>
    </r>
  </si>
  <si>
    <t xml:space="preserve">Hernández-Mariano et al</t>
  </si>
  <si>
    <t xml:space="preserve">Prevalence of academic burnout among nursing students: a systematic review and meta-analysis</t>
  </si>
  <si>
    <t xml:space="preserve">J Nurs Educ</t>
  </si>
  <si>
    <t xml:space="preserve">Multiple (review); highest prevalence in Asia</t>
  </si>
  <si>
    <t xml:space="preserve">34 studies (n = 9554)</t>
  </si>
  <si>
    <t xml:space="preserve">Academic burnout (prevalence and dimensions)</t>
  </si>
  <si>
    <t xml:space="preserve">Pooled academic burnout 35% (95% CI 24%–47%; 23 studies); highest in Asia (58%). High emotional exhaustion 40%, high depersonalization 23%, low personal accomplishment 30%.</t>
  </si>
  <si>
    <t xml:space="preserve">Nursing students only; estimate differs from Gómez-Urquiza 2023 (19%), possibly because of different scales and cut-offs.</t>
  </si>
  <si>
    <t xml:space="preserve">Supports including students; gives a prevalence figure for the introduction.</t>
  </si>
  <si>
    <t xml:space="preserve">10.3928/01484834-20240502-04</t>
  </si>
  <si>
    <r>
      <rPr>
        <sz val="10"/>
        <rFont val="Arial"/>
        <family val="0"/>
        <charset val="1"/>
      </rPr>
      <t xml:space="preserve">Hernández-Mariano JÁ, Hurtado-Salgado E, Velázquez-Núñez MDC, Cupul-Uicab LA. Prevalence of academic burnout among nursing students: a systematic review and meta-analysis. </t>
    </r>
    <r>
      <rPr>
        <i val="true"/>
        <sz val="10"/>
        <rFont val="Arial"/>
        <family val="0"/>
        <charset val="1"/>
      </rPr>
      <t xml:space="preserve">J Nurs Educ</t>
    </r>
    <r>
      <rPr>
        <sz val="10"/>
        <rFont val="Arial"/>
        <family val="0"/>
        <charset val="1"/>
      </rPr>
      <t xml:space="preserve">. 2024;63(8):533-539. doi:10.3928/01484834-20240502-04</t>
    </r>
  </si>
  <si>
    <t xml:space="preserve">Hoff and Lee</t>
  </si>
  <si>
    <t xml:space="preserve">Burnout and physician gender: what do we know?</t>
  </si>
  <si>
    <t xml:space="preserve">Med Care</t>
  </si>
  <si>
    <t xml:space="preserve">Review (framed around US physicians)</t>
  </si>
  <si>
    <t xml:space="preserve">Physicians (focus on women physicians)</t>
  </si>
  <si>
    <t xml:space="preserve">43 studies (published 2010–2019)</t>
  </si>
  <si>
    <t xml:space="preserve">Systematic review (PRISMA)</t>
  </si>
  <si>
    <t xml:space="preserve">Physician burnout (as measured in included studies)</t>
  </si>
  <si>
    <t xml:space="preserve">A third or more of both male and female physicians reported burnout. Women generally more likely to have burnout than men, especially emotional exhaustion.</t>
  </si>
  <si>
    <t xml:space="preserve">Included studies from 2010–2019 only; physicians only; no pooled estimate.</t>
  </si>
  <si>
    <t xml:space="preserve">Supports focusing on women; points to emotional exhaustion.</t>
  </si>
  <si>
    <t xml:space="preserve">Introduction; Women-Specific Considerations</t>
  </si>
  <si>
    <t xml:space="preserve">10.1097/mlr.0000000000001584</t>
  </si>
  <si>
    <r>
      <rPr>
        <sz val="10"/>
        <rFont val="Arial"/>
        <family val="0"/>
        <charset val="1"/>
      </rPr>
      <t xml:space="preserve">Hoff T, Lee DR. Burnout and physician gender: what do we know? </t>
    </r>
    <r>
      <rPr>
        <i val="true"/>
        <sz val="10"/>
        <rFont val="Arial"/>
        <family val="0"/>
        <charset val="1"/>
      </rPr>
      <t xml:space="preserve">Med Care</t>
    </r>
    <r>
      <rPr>
        <sz val="10"/>
        <rFont val="Arial"/>
        <family val="0"/>
        <charset val="1"/>
      </rPr>
      <t xml:space="preserve">. 2021;59(8):711-720. doi:10.1097/mlr.0000000000001584</t>
    </r>
  </si>
  <si>
    <t xml:space="preserve">Membrive-Jiménez et al</t>
  </si>
  <si>
    <t xml:space="preserve">Relation between burnout and sleep problems in nurses: a systematic review with meta-analysis</t>
  </si>
  <si>
    <t xml:space="preserve">Healthcare (Basel)</t>
  </si>
  <si>
    <t xml:space="preserve">Nurses</t>
  </si>
  <si>
    <t xml:space="preserve">12 studies; meta-analysis n = 1127</t>
  </si>
  <si>
    <t xml:space="preserve">Validated burnout scales</t>
  </si>
  <si>
    <t xml:space="preserve">Validated sleep scales (sleep problems, insomnia)</t>
  </si>
  <si>
    <t xml:space="preserve">Burnout and sleep problems correlated r = 0.39 (95% CI 0.29–0.48; p &lt; .001), a moderate positive link. Being female was the only sociodemographic factor that affected the link.</t>
  </si>
  <si>
    <t xml:space="preserve">Nurses only; correlations, so direction is unclear; self-reported sleep.</t>
  </si>
  <si>
    <t xml:space="preserve">Core evidence that burnout and poor sleep go together; female sex matters.</t>
  </si>
  <si>
    <t xml:space="preserve">Burnout and Sleep</t>
  </si>
  <si>
    <t xml:space="preserve">10.3390/healthcare10050954</t>
  </si>
  <si>
    <r>
      <rPr>
        <sz val="10"/>
        <rFont val="Arial"/>
        <family val="0"/>
        <charset val="1"/>
      </rPr>
      <t xml:space="preserve">Membrive-Jiménez MJ, Gómez-Urquiza JL, Suleiman-Martos N, et al. Relation between burnout and sleep problems in nurses: a systematic review with meta-analysis. </t>
    </r>
    <r>
      <rPr>
        <i val="true"/>
        <sz val="10"/>
        <rFont val="Arial"/>
        <family val="0"/>
        <charset val="1"/>
      </rPr>
      <t xml:space="preserve">Healthcare (Basel)</t>
    </r>
    <r>
      <rPr>
        <sz val="10"/>
        <rFont val="Arial"/>
        <family val="0"/>
        <charset val="1"/>
      </rPr>
      <t xml:space="preserve">. 2022;10(5):954. doi:10.3390/healthcare10050954</t>
    </r>
  </si>
  <si>
    <t xml:space="preserve">Zakiei et al</t>
  </si>
  <si>
    <t xml:space="preserve">The mechanism of sleep quality's effect on academic burnout: examining the mediating role of perceived stress</t>
  </si>
  <si>
    <t xml:space="preserve">BMC Med Educ</t>
  </si>
  <si>
    <t xml:space="preserve">Iran</t>
  </si>
  <si>
    <t xml:space="preserve">Medical sciences university students</t>
  </si>
  <si>
    <t xml:space="preserve">476</t>
  </si>
  <si>
    <t xml:space="preserve">Cross-sectional survey (2024)</t>
  </si>
  <si>
    <t xml:space="preserve">Cross-sectional</t>
  </si>
  <si>
    <t xml:space="preserve">Academic Burnout Inventory; Perceived Stress Scale</t>
  </si>
  <si>
    <t xml:space="preserve">Pittsburgh Sleep Quality Index (PSQI)</t>
  </si>
  <si>
    <t xml:space="preserve">Poorer sleep quality linked to more perceived stress and more academic burnout. Part of the sleep–burnout link went through perceived stress (indirect effect β = 0.13).</t>
  </si>
  <si>
    <t xml:space="preserve">Cross-sectional, so cause and effect unclear; one university; self-report only.</t>
  </si>
  <si>
    <t xml:space="preserve">Shows the burnout–sleep link in students.</t>
  </si>
  <si>
    <t xml:space="preserve">10.1186/s12909-025-07617-6</t>
  </si>
  <si>
    <r>
      <rPr>
        <sz val="10"/>
        <rFont val="Arial"/>
        <family val="0"/>
        <charset val="1"/>
      </rPr>
      <t xml:space="preserve">Zakiei A, Khazaie H, Azadi M, Mohsenpour S, Komasi S. The mechanism of sleep quality's effect on academic burnout: examining the mediating role of perceived stress. </t>
    </r>
    <r>
      <rPr>
        <i val="true"/>
        <sz val="10"/>
        <rFont val="Arial"/>
        <family val="0"/>
        <charset val="1"/>
      </rPr>
      <t xml:space="preserve">BMC Med Educ</t>
    </r>
    <r>
      <rPr>
        <sz val="10"/>
        <rFont val="Arial"/>
        <family val="0"/>
        <charset val="1"/>
      </rPr>
      <t xml:space="preserve">. 2025;25(1):1018. doi:10.1186/s12909-025-07617-6</t>
    </r>
  </si>
  <si>
    <t xml:space="preserve">Höglund et al</t>
  </si>
  <si>
    <t xml:space="preserve">Risk factors for insomnia and burnout: a longitudinal population-based cohort study</t>
  </si>
  <si>
    <t xml:space="preserve">Stress Health</t>
  </si>
  <si>
    <t xml:space="preserve">Sweden</t>
  </si>
  <si>
    <t xml:space="preserve">General population, ages 18–79</t>
  </si>
  <si>
    <t xml:space="preserve">1702 (insomnia cohort); 1972 (burnout cohort)</t>
  </si>
  <si>
    <t xml:space="preserve">Population-based longitudinal cohort, 3-year follow-up</t>
  </si>
  <si>
    <t xml:space="preserve">Longitudinal / cohort</t>
  </si>
  <si>
    <t xml:space="preserve">Self-reported burnout</t>
  </si>
  <si>
    <t xml:space="preserve">Self-reported insomnia</t>
  </si>
  <si>
    <t xml:space="preserve">Baseline burnout was among the strongest predictors of new insomnia 3 years later (ORs for insomnia across all risk factors 1.62–2.73). ORs generally similar in men and women.</t>
  </si>
  <si>
    <t xml:space="preserve">Self-report only; general population rather than workers or students.</t>
  </si>
  <si>
    <t xml:space="preserve">Suggests burnout comes before insomnia (time order).</t>
  </si>
  <si>
    <t xml:space="preserve">10.1002/smi.3218</t>
  </si>
  <si>
    <r>
      <rPr>
        <sz val="10"/>
        <rFont val="Arial"/>
        <family val="0"/>
        <charset val="1"/>
      </rPr>
      <t xml:space="preserve">Höglund P, Hakelind C, Nordin M, Nordin S. Risk factors for insomnia and burnout: a longitudinal population-based cohort study. </t>
    </r>
    <r>
      <rPr>
        <i val="true"/>
        <sz val="10"/>
        <rFont val="Arial"/>
        <family val="0"/>
        <charset val="1"/>
      </rPr>
      <t xml:space="preserve">Stress Health</t>
    </r>
    <r>
      <rPr>
        <sz val="10"/>
        <rFont val="Arial"/>
        <family val="0"/>
        <charset val="1"/>
      </rPr>
      <t xml:space="preserve">. 2023;39(4):798-812. doi:10.1002/smi.3218</t>
    </r>
  </si>
  <si>
    <t xml:space="preserve">Świtaj et al</t>
  </si>
  <si>
    <t xml:space="preserve">Insomnia mediates the longitudinal association between loneliness and burnout among nurses</t>
  </si>
  <si>
    <t xml:space="preserve">Sci Rep</t>
  </si>
  <si>
    <t xml:space="preserve">Poland*</t>
  </si>
  <si>
    <t xml:space="preserve">520</t>
  </si>
  <si>
    <t xml:space="preserve">Two-wave longitudinal survey (6 months apart)</t>
  </si>
  <si>
    <t xml:space="preserve">Maslach Burnout Inventory–General Survey (MBI-GS); De Jong Gierveld Loneliness Scale</t>
  </si>
  <si>
    <t xml:space="preserve">Athens Insomnia Scale</t>
  </si>
  <si>
    <t xml:space="preserve">Loneliness linked to more cynicism and lower professional efficacy. Insomnia mediated the links between loneliness and all three burnout dimensions.</t>
  </si>
  <si>
    <t xml:space="preserve">Only two time points; nurses only; self-report.</t>
  </si>
  <si>
    <t xml:space="preserve">Sleep problems as a pathway into burnout.</t>
  </si>
  <si>
    <t xml:space="preserve">10.1038/s41598-025-11264-8</t>
  </si>
  <si>
    <r>
      <rPr>
        <sz val="10"/>
        <rFont val="Arial"/>
        <family val="0"/>
        <charset val="1"/>
      </rPr>
      <t xml:space="preserve">Świtaj P, Baka Ł, Kapica Ł, Bugajska J, Januszczak J, Sienkiewicz-Jarosz H. Insomnia mediates the longitudinal association between loneliness and burnout among nurses. </t>
    </r>
    <r>
      <rPr>
        <i val="true"/>
        <sz val="10"/>
        <rFont val="Arial"/>
        <family val="0"/>
        <charset val="1"/>
      </rPr>
      <t xml:space="preserve">Sci Rep</t>
    </r>
    <r>
      <rPr>
        <sz val="10"/>
        <rFont val="Arial"/>
        <family val="0"/>
        <charset val="1"/>
      </rPr>
      <t xml:space="preserve">. 2025;15(1):25384. doi:10.1038/s41598-025-11264-8</t>
    </r>
  </si>
  <si>
    <t xml:space="preserve">Frick et al</t>
  </si>
  <si>
    <t xml:space="preserve">The bidirectional relationship between sleep and daily burnout-related experiences: self-report vs actigraphy-derived measures</t>
  </si>
  <si>
    <t xml:space="preserve">Sleep Health</t>
  </si>
  <si>
    <t xml:space="preserve">Netherlands*</t>
  </si>
  <si>
    <t xml:space="preserve">Non-clinical employees</t>
  </si>
  <si>
    <t xml:space="preserve">72</t>
  </si>
  <si>
    <t xml:space="preserve">7-day experience sampling study</t>
  </si>
  <si>
    <t xml:space="preserve">Daily diary / experience sampling</t>
  </si>
  <si>
    <t xml:space="preserve">Trait burnout; daily exhaustion, boredom, feeling positively challenged</t>
  </si>
  <si>
    <t xml:space="preserve">Actigraphy and self-reported sleep (quality, timing)</t>
  </si>
  <si>
    <t xml:space="preserve">Research actigraph (not a consumer device)</t>
  </si>
  <si>
    <t xml:space="preserve">Poor sleep quality predicted next-day exhaustion and boredom, not the other way round. Later sleep timing linked to feeling more positively challenged. Trait burnout changed several sleep–burnout links.</t>
  </si>
  <si>
    <t xml:space="preserve">One week only; small sample.</t>
  </si>
  <si>
    <t xml:space="preserve">Best evidence on direction (sleep → next-day exhaustion) using objective sleep.</t>
  </si>
  <si>
    <t xml:space="preserve">Burnout and Sleep; Wearable Device Studies</t>
  </si>
  <si>
    <t xml:space="preserve">10.1016/j.sleh.2025.03.007</t>
  </si>
  <si>
    <r>
      <rPr>
        <sz val="10"/>
        <rFont val="Arial"/>
        <family val="0"/>
        <charset val="1"/>
      </rPr>
      <t xml:space="preserve">Frick S, Smolders K, van der Meij L, Demerouti E, de Kort Y. The bidirectional relationship between sleep and daily burnout-related experiences: self-report vs actigraphy-derived measures. </t>
    </r>
    <r>
      <rPr>
        <i val="true"/>
        <sz val="10"/>
        <rFont val="Arial"/>
        <family val="0"/>
        <charset val="1"/>
      </rPr>
      <t xml:space="preserve">Sleep Health</t>
    </r>
    <r>
      <rPr>
        <sz val="10"/>
        <rFont val="Arial"/>
        <family val="0"/>
        <charset val="1"/>
      </rPr>
      <t xml:space="preserve">. 2025;11(3):382-389. doi:10.1016/j.sleh.2025.03.007</t>
    </r>
  </si>
  <si>
    <t xml:space="preserve">Fang et al</t>
  </si>
  <si>
    <t xml:space="preserve">Day-to-day variability in sleep parameters and depression risk: a prospective cohort study of training physicians</t>
  </si>
  <si>
    <t xml:space="preserve">NPJ Digit Med</t>
  </si>
  <si>
    <t xml:space="preserve">USA*</t>
  </si>
  <si>
    <t xml:space="preserve">First-year resident physicians (interns)</t>
  </si>
  <si>
    <t xml:space="preserve">2115</t>
  </si>
  <si>
    <t xml:space="preserve">Prospective cohort, 1 year (Intern Health Study)</t>
  </si>
  <si>
    <t xml:space="preserve">Depression (PHQ-9) and daily mood (smartphone app); no burnout measure</t>
  </si>
  <si>
    <t xml:space="preserve">Wearable total sleep time, bedtime, wake time, day-to-day variability</t>
  </si>
  <si>
    <t xml:space="preserve">Fitbit</t>
  </si>
  <si>
    <t xml:space="preserve">Shorter sleep linked to more depression. Within a person, more sleep, earlier bedtime, later wake time and less day-to-day change in sleep → better next-day mood. Sleep variability mattered about as much as average sleep.</t>
  </si>
  <si>
    <t xml:space="preserve">Measured depression and mood, not burnout; doctors in training only.</t>
  </si>
  <si>
    <t xml:space="preserve">Sleep consistency matters, not just duration.</t>
  </si>
  <si>
    <t xml:space="preserve">10.1038/s41746-021-00400-z</t>
  </si>
  <si>
    <r>
      <rPr>
        <sz val="10"/>
        <rFont val="Arial"/>
        <family val="0"/>
        <charset val="1"/>
      </rPr>
      <t xml:space="preserve">Fang Y, Forger DB, Frank E, Sen S, Goldstein C. Day-to-day variability in sleep parameters and depression risk: a prospective cohort study of training physicians. </t>
    </r>
    <r>
      <rPr>
        <i val="true"/>
        <sz val="10"/>
        <rFont val="Arial"/>
        <family val="0"/>
        <charset val="1"/>
      </rPr>
      <t xml:space="preserve">NPJ Digit Med</t>
    </r>
    <r>
      <rPr>
        <sz val="10"/>
        <rFont val="Arial"/>
        <family val="0"/>
        <charset val="1"/>
      </rPr>
      <t xml:space="preserve">. 2021;4(1):28. doi:10.1038/s41746-021-00400-z</t>
    </r>
  </si>
  <si>
    <t xml:space="preserve">Sy et al</t>
  </si>
  <si>
    <t xml:space="preserve">Longitudinal associations of sleep midpoint and sleep midpoint variability with the mental health of young adult college students</t>
  </si>
  <si>
    <t xml:space="preserve">Chronobiol Int</t>
  </si>
  <si>
    <t xml:space="preserve">College students aged 18–26 (two universities)</t>
  </si>
  <si>
    <t xml:space="preserve">256</t>
  </si>
  <si>
    <t xml:space="preserve">Daily diary study, 2 weeks</t>
  </si>
  <si>
    <t xml:space="preserve">Depression (PHQ-2), anxiety (GAD-2), stress (PSS-4); no burnout measure</t>
  </si>
  <si>
    <t xml:space="preserve">Electronic sleep diary: sleep midpoint and its variability</t>
  </si>
  <si>
    <t xml:space="preserve">Later sleep midpoint linked to more depression, anxiety and stress. More variable sleep midpoint correlated with worse depressive symptoms (r = 0.14).</t>
  </si>
  <si>
    <t xml:space="preserve">Self-reported sleep, no device; 2 weeks; no burnout measure.</t>
  </si>
  <si>
    <t xml:space="preserve">Sleep timing and regularity matter for student mental health.</t>
  </si>
  <si>
    <t xml:space="preserve">10.1080/07420528.2026.2671355</t>
  </si>
  <si>
    <r>
      <rPr>
        <sz val="10"/>
        <rFont val="Arial"/>
        <family val="0"/>
        <charset val="1"/>
      </rPr>
      <t xml:space="preserve">Sy JRT, Brombach RK, Leete JJ, et al. Longitudinal associations of sleep midpoint and sleep midpoint variability with the mental health of young adult college students. </t>
    </r>
    <r>
      <rPr>
        <i val="true"/>
        <sz val="10"/>
        <rFont val="Arial"/>
        <family val="0"/>
        <charset val="1"/>
      </rPr>
      <t xml:space="preserve">Chronobiol Int</t>
    </r>
    <r>
      <rPr>
        <sz val="10"/>
        <rFont val="Arial"/>
        <family val="0"/>
        <charset val="1"/>
      </rPr>
      <t xml:space="preserve">. 2026;43(9):1424-1430. doi:10.1080/07420528.2026.2671355</t>
    </r>
  </si>
  <si>
    <t xml:space="preserve">Bourassa et al</t>
  </si>
  <si>
    <t xml:space="preserve">Objective biobehavioral measures reflect burnout states and temporal changes in a nursing population: a prospective observational assessment</t>
  </si>
  <si>
    <t xml:space="preserve">Nurs Rep</t>
  </si>
  <si>
    <t xml:space="preserve">Hospital nurses</t>
  </si>
  <si>
    <t xml:space="preserve">50 (45 analysed)</t>
  </si>
  <si>
    <t xml:space="preserve">Prospective observational study, 30 days</t>
  </si>
  <si>
    <t xml:space="preserve">Burnout questionnaire at baseline and day 30 (emotional exhaustion, depersonalization)</t>
  </si>
  <si>
    <t xml:space="preserve">Oura sleep measures, including sleep variability</t>
  </si>
  <si>
    <t xml:space="preserve">Oura heart rate–based measures</t>
  </si>
  <si>
    <t xml:space="preserve">Oura ring</t>
  </si>
  <si>
    <t xml:space="preserve">Nurses with burnout had more variable sleep. Sleep measures classified burnout state with 75.75% accuracy. Heart rate measures explained changes in emotional exhaustion and depersonalization over time (R² = 0.13).</t>
  </si>
  <si>
    <t xml:space="preserve">Small and exploratory; 1 month; nurses only.</t>
  </si>
  <si>
    <t xml:space="preserve">Closest to my design: consumer wearable + burnout over time.</t>
  </si>
  <si>
    <t xml:space="preserve">Burnout and Sleep; Burnout and Physiological Recovery; Wearable Device Studies</t>
  </si>
  <si>
    <t xml:space="preserve">10.3390/nursrep16010036</t>
  </si>
  <si>
    <r>
      <rPr>
        <sz val="10"/>
        <rFont val="Arial"/>
        <family val="0"/>
        <charset val="1"/>
      </rPr>
      <t xml:space="preserve">Bourassa KA, Lamichhane B, Bartek N, Bautista C, Sano A, Madan A. Objective biobehavioral measures reflect burnout states and temporal changes in a nursing population: a prospective observational assessment. </t>
    </r>
    <r>
      <rPr>
        <i val="true"/>
        <sz val="10"/>
        <rFont val="Arial"/>
        <family val="0"/>
        <charset val="1"/>
      </rPr>
      <t xml:space="preserve">Nurs Rep</t>
    </r>
    <r>
      <rPr>
        <sz val="10"/>
        <rFont val="Arial"/>
        <family val="0"/>
        <charset val="1"/>
      </rPr>
      <t xml:space="preserve">. 2026;16(1):36. doi:10.3390/nursrep16010036</t>
    </r>
  </si>
  <si>
    <t xml:space="preserve">Kane et al</t>
  </si>
  <si>
    <t xml:space="preserve">Continuous heart rate variability monitoring, stress and recovery in doctors: a systematic review and meta-analysis</t>
  </si>
  <si>
    <t xml:space="preserve">Occup Med (Lond)</t>
  </si>
  <si>
    <t xml:space="preserve">7 countries (review)</t>
  </si>
  <si>
    <t xml:space="preserve">Doctors</t>
  </si>
  <si>
    <t xml:space="preserve">7 studies (12–54 participants each)</t>
  </si>
  <si>
    <t xml:space="preserve">Stress vs recovery periods (contextual or psychological assessment)</t>
  </si>
  <si>
    <t xml:space="preserve">Continuous ambulatory HRV (RMSSD, SDNN, LF, LF/HF)</t>
  </si>
  <si>
    <t xml:space="preserve">A different HRV device in each study</t>
  </si>
  <si>
    <t xml:space="preserve">HRV differed between stress and recovery periods: RMSSD lower (SMD −0.63) and SDNN lower (SMD −1.05) during stress; LF and LF/HF higher.</t>
  </si>
  <si>
    <t xml:space="preserve">Only 7 small studies; quality moderate at best; doctors only.</t>
  </si>
  <si>
    <t xml:space="preserve">HRV tracks work stress and recovery, which supports HRV as an outcome.</t>
  </si>
  <si>
    <t xml:space="preserve">Burnout and Physiological Recovery; Recovery During Breaks</t>
  </si>
  <si>
    <t xml:space="preserve">10.1093/occmed/kqaf101</t>
  </si>
  <si>
    <r>
      <rPr>
        <sz val="10"/>
        <rFont val="Arial"/>
        <family val="0"/>
        <charset val="1"/>
      </rPr>
      <t xml:space="preserve">Kane L, Powell D, Martin KR, Rees C, Curran J, Ball D. Continuous heart rate variability monitoring, stress and recovery in doctors: a systematic review and meta-analysis. </t>
    </r>
    <r>
      <rPr>
        <i val="true"/>
        <sz val="10"/>
        <rFont val="Arial"/>
        <family val="0"/>
        <charset val="1"/>
      </rPr>
      <t xml:space="preserve">Occup Med (Lond)</t>
    </r>
    <r>
      <rPr>
        <sz val="10"/>
        <rFont val="Arial"/>
        <family val="0"/>
        <charset val="1"/>
      </rPr>
      <t xml:space="preserve">. 2025;75(9):630-639. doi:10.1093/occmed/kqaf101</t>
    </r>
  </si>
  <si>
    <t xml:space="preserve">Lee et al</t>
  </si>
  <si>
    <t xml:space="preserve">Occupational stress in the neuroticism-burnout link: an exploratory examination of physiological contributions</t>
  </si>
  <si>
    <t xml:space="preserve">Clin Psychopharmacol Neurosci</t>
  </si>
  <si>
    <t xml:space="preserve">South Korea</t>
  </si>
  <si>
    <t xml:space="preserve">Workers in high-stress occupations</t>
  </si>
  <si>
    <t xml:space="preserve">150</t>
  </si>
  <si>
    <t xml:space="preserve">Cross-sectional; structural equation modelling</t>
  </si>
  <si>
    <t xml:space="preserve">Burnout; perceived occupational stress; neuroticism</t>
  </si>
  <si>
    <t xml:space="preserve">Resting PPG-derived HRV; frontal EEG</t>
  </si>
  <si>
    <t xml:space="preserve">Maumgyeol Basic wearable system</t>
  </si>
  <si>
    <t xml:space="preserve">Perceived stress strongly predicted burnout. The wearable HRV → burnout path showed only a non-significant negative trend. Older age linked to less burnout.</t>
  </si>
  <si>
    <t xml:space="preserve">Cross-sectional; short resting recording; physiological pathway exploratory.</t>
  </si>
  <si>
    <t xml:space="preserve">HRV–burnout link is weak in non-clinical workers.</t>
  </si>
  <si>
    <t xml:space="preserve">Burnout and Physiological Recovery</t>
  </si>
  <si>
    <t xml:space="preserve">10.9758/cpn.25.1377</t>
  </si>
  <si>
    <r>
      <rPr>
        <sz val="10"/>
        <rFont val="Arial"/>
        <family val="0"/>
        <charset val="1"/>
      </rPr>
      <t xml:space="preserve">Lee HS, Lee T, Kwon K, Ahn WS, Lee SH. Occupational stress in the neuroticism-burnout link: an exploratory examination of physiological contributions. </t>
    </r>
    <r>
      <rPr>
        <i val="true"/>
        <sz val="10"/>
        <rFont val="Arial"/>
        <family val="0"/>
        <charset val="1"/>
      </rPr>
      <t xml:space="preserve">Clin Psychopharmacol Neurosci</t>
    </r>
    <r>
      <rPr>
        <sz val="10"/>
        <rFont val="Arial"/>
        <family val="0"/>
        <charset val="1"/>
      </rPr>
      <t xml:space="preserve">. 2026;24(3):570-579. doi:10.9758/cpn.25.1377</t>
    </r>
  </si>
  <si>
    <t xml:space="preserve">Turner et al</t>
  </si>
  <si>
    <t xml:space="preserve">Heart rate variability across recording conditions: associations with depression and burnout in inpatients with stress-related disorders</t>
  </si>
  <si>
    <t xml:space="preserve">J Psychosom Res</t>
  </si>
  <si>
    <t xml:space="preserve">Switzerland*</t>
  </si>
  <si>
    <t xml:space="preserve">Inpatients with clinical burnout plus depression or adjustment disorder</t>
  </si>
  <si>
    <t xml:space="preserve">153</t>
  </si>
  <si>
    <t xml:space="preserve">Longitudinal observational (baseline and after up to 8 weeks of treatment)</t>
  </si>
  <si>
    <t xml:space="preserve">Shirom-Melamed Burnout Measure; Beck Depression Inventory-II</t>
  </si>
  <si>
    <t xml:space="preserve">HRV supine, standing, post-exercise, and over 24 h</t>
  </si>
  <si>
    <t xml:space="preserve">Clinical HRV recordings (device not named in abstract)</t>
  </si>
  <si>
    <t xml:space="preserve">Non-linear links between burnout severity and HRV, only in the standing position. Little evidence for a depression–HRV link. After treatment, HRV rose (e.g., RMSSD and SDNN supine; 24-h SDNN).</t>
  </si>
  <si>
    <t xml:space="preserve">Clinical inpatients, not a general population sample.</t>
  </si>
  <si>
    <t xml:space="preserve">The HRV–burnout link depends on how and when HRV is recorded.</t>
  </si>
  <si>
    <t xml:space="preserve">Burnout and Physiological Recovery; Gaps in the Literature</t>
  </si>
  <si>
    <t xml:space="preserve">10.1016/j.jpsychores.2026.112674</t>
  </si>
  <si>
    <r>
      <rPr>
        <sz val="10"/>
        <rFont val="Arial"/>
        <family val="0"/>
        <charset val="1"/>
      </rPr>
      <t xml:space="preserve">Turner W, La Marca R, Infanger D, et al. Heart rate variability across recording conditions: associations with depression and burnout in inpatients with stress-related disorders. </t>
    </r>
    <r>
      <rPr>
        <i val="true"/>
        <sz val="10"/>
        <rFont val="Arial"/>
        <family val="0"/>
        <charset val="1"/>
      </rPr>
      <t xml:space="preserve">J Psychosom Res</t>
    </r>
    <r>
      <rPr>
        <sz val="10"/>
        <rFont val="Arial"/>
        <family val="0"/>
        <charset val="1"/>
      </rPr>
      <t xml:space="preserve">. 2026;207:112674. doi:10.1016/j.jpsychores.2026.112674</t>
    </r>
  </si>
  <si>
    <t xml:space="preserve">Böckelmann et al</t>
  </si>
  <si>
    <t xml:space="preserve">Heart rate variability and burnout risk among healthy employees in jobs involving interaction with others</t>
  </si>
  <si>
    <t xml:space="preserve">Front Physiol</t>
  </si>
  <si>
    <t xml:space="preserve">Germany*</t>
  </si>
  <si>
    <t xml:space="preserve">Employees in high-interaction jobs (nursery teachers, bank clerks, medical assistants)</t>
  </si>
  <si>
    <t xml:space="preserve">202</t>
  </si>
  <si>
    <t xml:space="preserve">Maslach Burnout Inventory–General Survey (MBI-GS)</t>
  </si>
  <si>
    <t xml:space="preserve">24-h ECG HRV, plus 6-h daytime and 6-h night-time windows</t>
  </si>
  <si>
    <t xml:space="preserve">24-h ECG (not a consumer device)</t>
  </si>
  <si>
    <t xml:space="preserve">HRV differed by burnout risk over 24 h and during the day, but not at night. Correlations with burnout were mostly weak. Effects were mainly driven by age and gender.</t>
  </si>
  <si>
    <t xml:space="preserve">Cross-sectional; only 5.4% had increased burnout risk.</t>
  </si>
  <si>
    <t xml:space="preserve">Night-time HRV (what wearables mostly record) showed the weakest link.</t>
  </si>
  <si>
    <t xml:space="preserve">10.3389/fphys.2026.1908141</t>
  </si>
  <si>
    <r>
      <rPr>
        <sz val="10"/>
        <rFont val="Arial"/>
        <family val="0"/>
        <charset val="1"/>
      </rPr>
      <t xml:space="preserve">Böckelmann I, Hartung J, Darius S, Sammito S, Thielmann B. Heart rate variability and burnout risk among healthy employees in jobs involving interaction with others. </t>
    </r>
    <r>
      <rPr>
        <i val="true"/>
        <sz val="10"/>
        <rFont val="Arial"/>
        <family val="0"/>
        <charset val="1"/>
      </rPr>
      <t xml:space="preserve">Front Physiol</t>
    </r>
    <r>
      <rPr>
        <sz val="10"/>
        <rFont val="Arial"/>
        <family val="0"/>
        <charset val="1"/>
      </rPr>
      <t xml:space="preserve">. 2026;17:1908141. doi:10.3389/fphys.2026.1908141</t>
    </r>
  </si>
  <si>
    <t xml:space="preserve">Gilin et al</t>
  </si>
  <si>
    <t xml:space="preserve">Impact of a wellness leadership intervention on the empathy, burnout, and resting heart rate of medical faculty</t>
  </si>
  <si>
    <t xml:space="preserve">Mayo Clin Proc Innov Qual Outcomes</t>
  </si>
  <si>
    <t xml:space="preserve">Canada</t>
  </si>
  <si>
    <t xml:space="preserve">Medical faculty leaders (80% physicians, 20% basic scientists)</t>
  </si>
  <si>
    <t xml:space="preserve">49 (39 shared Fitbit data)</t>
  </si>
  <si>
    <t xml:space="preserve">Wait-list controlled quasi-experiment, 15 weeks (6-week wellness course)</t>
  </si>
  <si>
    <t xml:space="preserve">Intervention / quasi-experimental</t>
  </si>
  <si>
    <t xml:space="preserve">Weekly burnout and empathy surveys</t>
  </si>
  <si>
    <t xml:space="preserve">Resting heart rate during sleep</t>
  </si>
  <si>
    <t xml:space="preserve">Fitbit Inspire 2</t>
  </si>
  <si>
    <t xml:space="preserve">While waiting for the course, the control group's resting heart rate rose by about 1.4 beats/min and empathy fell; the course group did not show these changes. The course prevented burnout from getting worse.</t>
  </si>
  <si>
    <t xml:space="preserve">Not randomised; small; during COVID-19; 10 of 49 did not share Fitbit data.</t>
  </si>
  <si>
    <t xml:space="preserve">Fitbit sleeping heart rate can track stress-related change over weeks.</t>
  </si>
  <si>
    <t xml:space="preserve">Burnout and Physiological Recovery; Wearable Device Studies</t>
  </si>
  <si>
    <t xml:space="preserve">10.1016/j.mayocpiqo.2023.09.005</t>
  </si>
  <si>
    <r>
      <rPr>
        <sz val="10"/>
        <rFont val="Arial"/>
        <family val="0"/>
        <charset val="1"/>
      </rPr>
      <t xml:space="preserve">Gilin DA, Anderson GG, Etezad S, Lee-Baggley D, Cooper AM, Preston RJ. Impact of a wellness leadership intervention on the empathy, burnout, and resting heart rate of medical faculty. </t>
    </r>
    <r>
      <rPr>
        <i val="true"/>
        <sz val="10"/>
        <rFont val="Arial"/>
        <family val="0"/>
        <charset val="1"/>
      </rPr>
      <t xml:space="preserve">Mayo Clin Proc Innov Qual Outcomes</t>
    </r>
    <r>
      <rPr>
        <sz val="10"/>
        <rFont val="Arial"/>
        <family val="0"/>
        <charset val="1"/>
      </rPr>
      <t xml:space="preserve">. 2023;7(6):545-555. doi:10.1016/j.mayocpiqo.2023.09.005</t>
    </r>
  </si>
  <si>
    <t xml:space="preserve">Hübner et al</t>
  </si>
  <si>
    <t xml:space="preserve">Effects of a one-week vacation with various activity programs on well-being, heart rate variability, and sleep quality in healthy vacationers: an open comparative study</t>
  </si>
  <si>
    <t xml:space="preserve">BMC Public Health</t>
  </si>
  <si>
    <t xml:space="preserve">Austria</t>
  </si>
  <si>
    <t xml:space="preserve">Healthy, untrained adults on a 1-week active vacation</t>
  </si>
  <si>
    <t xml:space="preserve">52</t>
  </si>
  <si>
    <t xml:space="preserve">Open comparative pre–post study (golf vs Nordic walking/e-biking)</t>
  </si>
  <si>
    <t xml:space="preserve">Recovery–stress questionnaire (EBF-24); WHO-5 well-being</t>
  </si>
  <si>
    <t xml:space="preserve">Sleep quality (EBF-24); sleep architecture from HRV</t>
  </si>
  <si>
    <t xml:space="preserve">24-h ECG HRV (SDNN, pNN50, RMSSD, LF/HF, total power)</t>
  </si>
  <si>
    <t xml:space="preserve">Well-being, sleep quality and HRV improved after the vacation.</t>
  </si>
  <si>
    <t xml:space="preserve">No control group without a vacation; measured only 1 day before and 1 day after.</t>
  </si>
  <si>
    <t xml:space="preserve">Breaks can restore sleep and HRV, which is the basis for H3 (recovery during breaks).</t>
  </si>
  <si>
    <t xml:space="preserve">Recovery During Breaks; Gaps in the Literature</t>
  </si>
  <si>
    <t xml:space="preserve">10.1186/s12889-022-14838-7</t>
  </si>
  <si>
    <r>
      <rPr>
        <sz val="10"/>
        <rFont val="Arial"/>
        <family val="0"/>
        <charset val="1"/>
      </rPr>
      <t xml:space="preserve">Hübner M, Lechleitner P, Neumayr G. Effects of a one-week vacation with various activity programs on well-being, heart rate variability, and sleep quality in healthy vacationers: an open comparative study. </t>
    </r>
    <r>
      <rPr>
        <i val="true"/>
        <sz val="10"/>
        <rFont val="Arial"/>
        <family val="0"/>
        <charset val="1"/>
      </rPr>
      <t xml:space="preserve">BMC Public Health</t>
    </r>
    <r>
      <rPr>
        <sz val="10"/>
        <rFont val="Arial"/>
        <family val="0"/>
        <charset val="1"/>
      </rPr>
      <t xml:space="preserve">. 2022;22(1):2435. doi:10.1186/s12889-022-14838-7</t>
    </r>
  </si>
  <si>
    <t xml:space="preserve">Chen et al</t>
  </si>
  <si>
    <t xml:space="preserve">The impact of school life and holidays on sleep and physical activity patterns in junior high school students: a small-sample longitudinal study using wearable devices</t>
  </si>
  <si>
    <t xml:space="preserve">Front Public Health</t>
  </si>
  <si>
    <t xml:space="preserve">China</t>
  </si>
  <si>
    <t xml:space="preserve">First-year middle-school students</t>
  </si>
  <si>
    <t xml:space="preserve">27 (14 boys, 13 girls)</t>
  </si>
  <si>
    <t xml:space="preserve">Longitudinal, full school year (school days, weekends, winter and summer vacation)</t>
  </si>
  <si>
    <t xml:space="preserve">None</t>
  </si>
  <si>
    <t xml:space="preserve">Sleep onset, wake time, deep/light/REM and total sleep</t>
  </si>
  <si>
    <t xml:space="preserve">Huawei Band 6</t>
  </si>
  <si>
    <t xml:space="preserve">Only 26.71% met sleep recommendations on school days. Sleep improved during holidays; winter vacation had more total and deep sleep than summer. Girls had longer deep sleep but less physical activity than boys.</t>
  </si>
  <si>
    <t xml:space="preserve">Adolescents; very small sample; no burnout or HRV measure.</t>
  </si>
  <si>
    <t xml:space="preserve">Shows a consumer band can track sleep changes between term time and vacations.</t>
  </si>
  <si>
    <t xml:space="preserve">Recovery During Breaks</t>
  </si>
  <si>
    <t xml:space="preserve">10.3389/fpubh.2026.1833198</t>
  </si>
  <si>
    <r>
      <rPr>
        <sz val="10"/>
        <rFont val="Arial"/>
        <family val="0"/>
        <charset val="1"/>
      </rPr>
      <t xml:space="preserve">Chen Y, Xu K, Zhao Y, et al. The impact of school life and holidays on sleep and physical activity patterns in junior high school students: a small-sample longitudinal study using wearable devices. </t>
    </r>
    <r>
      <rPr>
        <i val="true"/>
        <sz val="10"/>
        <rFont val="Arial"/>
        <family val="0"/>
        <charset val="1"/>
      </rPr>
      <t xml:space="preserve">Front Public Health</t>
    </r>
    <r>
      <rPr>
        <sz val="10"/>
        <rFont val="Arial"/>
        <family val="0"/>
        <charset val="1"/>
      </rPr>
      <t xml:space="preserve">. 2026;14:1833198. doi:10.3389/fpubh.2026.1833198</t>
    </r>
  </si>
  <si>
    <t xml:space="preserve">Kazlauskas et al</t>
  </si>
  <si>
    <t xml:space="preserve">Validation of the Recovery Experience Questionnaire in a Lithuanian healthcare personnel</t>
  </si>
  <si>
    <t xml:space="preserve">Int J Environ Res Public Health</t>
  </si>
  <si>
    <t xml:space="preserve">Lithuania</t>
  </si>
  <si>
    <t xml:space="preserve">Healthcare workers</t>
  </si>
  <si>
    <t xml:space="preserve">471</t>
  </si>
  <si>
    <t xml:space="preserve">Psychometric validation (confirmatory factor analysis)</t>
  </si>
  <si>
    <t xml:space="preserve">Measure validation</t>
  </si>
  <si>
    <t xml:space="preserve">Recovery Experience Questionnaire (16 items); PHQ-4; WHO-5</t>
  </si>
  <si>
    <t xml:space="preserve">Confirmed 4 recovery factors: psychological detachment, relaxation, mastery, control. Recovery experiences correlated with anxiety, depression and well-being.</t>
  </si>
  <si>
    <t xml:space="preserve">Healthcare workers only; self-report; no physiological data.</t>
  </si>
  <si>
    <t xml:space="preserve">Possible extra measure of how participants recover during time off.</t>
  </si>
  <si>
    <t xml:space="preserve">10.3390/ijerph20032734</t>
  </si>
  <si>
    <r>
      <rPr>
        <sz val="10"/>
        <rFont val="Arial"/>
        <family val="0"/>
        <charset val="1"/>
      </rPr>
      <t xml:space="preserve">Kazlauskas E, Dumarkaite A, Gelezelyte O, Nomeikaite A, Zelviene P. Validation of the Recovery Experience Questionnaire in a Lithuanian healthcare personnel. </t>
    </r>
    <r>
      <rPr>
        <i val="true"/>
        <sz val="10"/>
        <rFont val="Arial"/>
        <family val="0"/>
        <charset val="1"/>
      </rPr>
      <t xml:space="preserve">Int J Environ Res Public Health</t>
    </r>
    <r>
      <rPr>
        <sz val="10"/>
        <rFont val="Arial"/>
        <family val="0"/>
        <charset val="1"/>
      </rPr>
      <t xml:space="preserve">. 2023;20(3):2734. doi:10.3390/ijerph20032734</t>
    </r>
  </si>
  <si>
    <t xml:space="preserve">Oluwadiya et al</t>
  </si>
  <si>
    <t xml:space="preserve">Evaluating the factor structure, reliability and validity of the Copenhagen Burnout Inventory-Student Survey (CBI-SS) among faculty of arts students of Ekiti State University, Ado-Ekiti, Nigeria</t>
  </si>
  <si>
    <t xml:space="preserve">Nigeria</t>
  </si>
  <si>
    <t xml:space="preserve">University students (Ekiti State University)</t>
  </si>
  <si>
    <t xml:space="preserve">635</t>
  </si>
  <si>
    <t xml:space="preserve">Cross-sectional psychometric validation</t>
  </si>
  <si>
    <t xml:space="preserve">Copenhagen Burnout Inventory–Student Survey (CBI-SS)</t>
  </si>
  <si>
    <t xml:space="preserve">Reliability 0.957 (subscales 0.862–0.914). Four-factor structure fit after removing item 10. Burnout scores were negatively correlated with academic self-efficacy and grade point average.</t>
  </si>
  <si>
    <t xml:space="preserve">One university; one item removed; self-report.</t>
  </si>
  <si>
    <t xml:space="preserve">The personal burnout scale is shared with the worker version of the CBI, so one measure can cover students and working women.</t>
  </si>
  <si>
    <t xml:space="preserve">Students; Implications for the Proposed Study</t>
  </si>
  <si>
    <t xml:space="preserve">10.1038/s41598-024-61310-0</t>
  </si>
  <si>
    <r>
      <rPr>
        <sz val="10"/>
        <rFont val="Arial"/>
        <family val="0"/>
        <charset val="1"/>
      </rPr>
      <t xml:space="preserve">Oluwadiya KS, Owoeye OK, Adeoti AO. Evaluating the factor structure, reliability and validity of the Copenhagen Burnout Inventory-Student Survey (CBI-SS) among faculty of arts students of Ekiti State University, Ado-Ekiti, Nigeria. </t>
    </r>
    <r>
      <rPr>
        <i val="true"/>
        <sz val="10"/>
        <rFont val="Arial"/>
        <family val="0"/>
        <charset val="1"/>
      </rPr>
      <t xml:space="preserve">Sci Rep</t>
    </r>
    <r>
      <rPr>
        <sz val="10"/>
        <rFont val="Arial"/>
        <family val="0"/>
        <charset val="1"/>
      </rPr>
      <t xml:space="preserve">. 2024;14(1):10476. doi:10.1038/s41598-024-61310-0</t>
    </r>
  </si>
  <si>
    <t xml:space="preserve">Alawad et al</t>
  </si>
  <si>
    <t xml:space="preserve">Heart rate variability and autonomic function in health professions students: associations with academic stress and lifestyle factors</t>
  </si>
  <si>
    <t xml:space="preserve">Physiol Rep</t>
  </si>
  <si>
    <t xml:space="preserve">Sudan*</t>
  </si>
  <si>
    <t xml:space="preserve">Health professions students</t>
  </si>
  <si>
    <t xml:space="preserve">237</t>
  </si>
  <si>
    <t xml:space="preserve">Perceived academic stress</t>
  </si>
  <si>
    <t xml:space="preserve">Sleep quality (one of the lifestyle factors)</t>
  </si>
  <si>
    <t xml:space="preserve">Resting HRV (time, frequency and Poincaré indices)</t>
  </si>
  <si>
    <t xml:space="preserve">Resting recording (device not named in abstract)</t>
  </si>
  <si>
    <t xml:space="preserve">65.0% had normal autonomic function; 35.0% had autonomic imbalance. Academic stress linked to autonomic imbalance in female students (p = 0.013). No links with lifestyle factors, including sleep quality.</t>
  </si>
  <si>
    <t xml:space="preserve">Cross-sectional; one short resting recording; no burnout measure.</t>
  </si>
  <si>
    <t xml:space="preserve">Academic stress shows up in HRV, especially in women.</t>
  </si>
  <si>
    <t xml:space="preserve">10.14814/phy2.71012</t>
  </si>
  <si>
    <r>
      <rPr>
        <sz val="10"/>
        <rFont val="Arial"/>
        <family val="0"/>
        <charset val="1"/>
      </rPr>
      <t xml:space="preserve">Alawad A, Merghani T, Chowdhury N, Hisham HA. Heart rate variability and autonomic function in health professions students: associations with academic stress and lifestyle factors. </t>
    </r>
    <r>
      <rPr>
        <i val="true"/>
        <sz val="10"/>
        <rFont val="Arial"/>
        <family val="0"/>
        <charset val="1"/>
      </rPr>
      <t xml:space="preserve">Physiol Rep</t>
    </r>
    <r>
      <rPr>
        <sz val="10"/>
        <rFont val="Arial"/>
        <family val="0"/>
        <charset val="1"/>
      </rPr>
      <t xml:space="preserve">. 2026;14(13):e71012. doi:10.14814/phy2.71012</t>
    </r>
  </si>
  <si>
    <t xml:space="preserve">Sathyanarayana et al</t>
  </si>
  <si>
    <t xml:space="preserve">Examining the use of consumer wearable devices and digital tools for stress measurement in college students: scoping review of methods</t>
  </si>
  <si>
    <t xml:space="preserve">JMIR Mhealth Uhealth</t>
  </si>
  <si>
    <t xml:space="preserve">College-aged students</t>
  </si>
  <si>
    <t xml:space="preserve">134 studies (published 2020–2025)</t>
  </si>
  <si>
    <t xml:space="preserve">Scoping review</t>
  </si>
  <si>
    <t xml:space="preserve">Psychological stress detection</t>
  </si>
  <si>
    <t xml:space="preserve">Physiological signals (electrodermal activity most common)</t>
  </si>
  <si>
    <t xml:space="preserve">Mostly wrist-worn wearables</t>
  </si>
  <si>
    <t xml:space="preserve">Electrodermal activity was the most used signal (57.5%). 62.8% of studies used existing datasets, and about 80% of those used one dataset (WESAD) with only 15 participants. 27.6% did not report sex; only 4 studies justified their sample size.</t>
  </si>
  <si>
    <t xml:space="preserve">Focuses on short-term stress detection and algorithms, not burnout or sleep.</t>
  </si>
  <si>
    <t xml:space="preserve">Shows student wearable research is narrow and often ignores sex.</t>
  </si>
  <si>
    <t xml:space="preserve">10.2196/64144</t>
  </si>
  <si>
    <r>
      <rPr>
        <sz val="10"/>
        <rFont val="Arial"/>
        <family val="0"/>
        <charset val="1"/>
      </rPr>
      <t xml:space="preserve">Sathyanarayana A, Amin OB, An J, Onnela JP. Examining the use of consumer wearable devices and digital tools for stress measurement in college students: scoping review of methods. </t>
    </r>
    <r>
      <rPr>
        <i val="true"/>
        <sz val="10"/>
        <rFont val="Arial"/>
        <family val="0"/>
        <charset val="1"/>
      </rPr>
      <t xml:space="preserve">JMIR Mhealth Uhealth</t>
    </r>
    <r>
      <rPr>
        <sz val="10"/>
        <rFont val="Arial"/>
        <family val="0"/>
        <charset val="1"/>
      </rPr>
      <t xml:space="preserve">. 2026;14:e64144. doi:10.2196/64144</t>
    </r>
  </si>
  <si>
    <t xml:space="preserve">Garcia-Ceja et al</t>
  </si>
  <si>
    <t xml:space="preserve">A dataset of university students' stress and anxiety levels based on questionnaires and wearable sensors</t>
  </si>
  <si>
    <t xml:space="preserve">Sci Data</t>
  </si>
  <si>
    <t xml:space="preserve">Mexico</t>
  </si>
  <si>
    <t xml:space="preserve">Undergraduates at two universities (computer science, mathematics engineering)</t>
  </si>
  <si>
    <t xml:space="preserve">35</t>
  </si>
  <si>
    <t xml:space="preserve">Public dataset (data descriptor), one semester, Feb–Jul 2025</t>
  </si>
  <si>
    <t xml:space="preserve">Daily self-rated stress and anxiety (mobile app)</t>
  </si>
  <si>
    <t xml:space="preserve">Fitbit sleep quality</t>
  </si>
  <si>
    <t xml:space="preserve">Fitbit HRV, oxygen saturation, stress score</t>
  </si>
  <si>
    <t xml:space="preserve">Fitbit Inspire 3</t>
  </si>
  <si>
    <t xml:space="preserve">Over 80% questionnaire compliance across the semester; validated Fitbit measures included.</t>
  </si>
  <si>
    <t xml:space="preserve">Describes a dataset and does not test hypotheses; stress and anxiety, not burnout; mostly male, technical programmes.</t>
  </si>
  <si>
    <t xml:space="preserve">Shows semester-long wearable monitoring of students is feasible.</t>
  </si>
  <si>
    <t xml:space="preserve">Students; Wearable Device Studies</t>
  </si>
  <si>
    <t xml:space="preserve">10.1038/s41597-026-07085-7</t>
  </si>
  <si>
    <r>
      <rPr>
        <sz val="10"/>
        <rFont val="Arial"/>
        <family val="0"/>
        <charset val="1"/>
      </rPr>
      <t xml:space="preserve">Garcia-Ceja E, Alvarado-Uribe J, Escamilla-Ambrosio PJ, et al. A dataset of university students' stress and anxiety levels based on questionnaires and wearable sensors. </t>
    </r>
    <r>
      <rPr>
        <i val="true"/>
        <sz val="10"/>
        <rFont val="Arial"/>
        <family val="0"/>
        <charset val="1"/>
      </rPr>
      <t xml:space="preserve">Sci Data</t>
    </r>
    <r>
      <rPr>
        <sz val="10"/>
        <rFont val="Arial"/>
        <family val="0"/>
        <charset val="1"/>
      </rPr>
      <t xml:space="preserve">. 2026;13(1):732. doi:10.1038/s41597-026-07085-7</t>
    </r>
  </si>
  <si>
    <t xml:space="preserve">Thakur et al</t>
  </si>
  <si>
    <t xml:space="preserve">Gender disparities and burnout among emergency physicians: a systematic review by the World Academic Council of Emergency Medicine-Female Leadership Academy for Medical Excellence</t>
  </si>
  <si>
    <t xml:space="preserve">West J Emerg Med</t>
  </si>
  <si>
    <t xml:space="preserve">10 countries (review)</t>
  </si>
  <si>
    <t xml:space="preserve">Emergency physicians</t>
  </si>
  <si>
    <t xml:space="preserve">18 studies (n = 26 939)</t>
  </si>
  <si>
    <t xml:space="preserve">Maslach Burnout Inventory–Human Services Survey (MBI-HSS)</t>
  </si>
  <si>
    <t xml:space="preserve">Overall burnout did not differ by sex, but more women had high emotional exhaustion (69% vs 57%) and low personal accomplishment (45% vs 29%).</t>
  </si>
  <si>
    <t xml:space="preserve">Emergency physicians only; English-language studies; inconsistent reporting across studies.</t>
  </si>
  <si>
    <t xml:space="preserve">Women's burnout shows mainly as exhaustion, so the exhaustion dimension matters most.</t>
  </si>
  <si>
    <t xml:space="preserve">Women-Specific Considerations</t>
  </si>
  <si>
    <t xml:space="preserve">10.5811/westjem.29331</t>
  </si>
  <si>
    <r>
      <rPr>
        <sz val="10"/>
        <rFont val="Arial"/>
        <family val="0"/>
        <charset val="1"/>
      </rPr>
      <t xml:space="preserve">Thakur S, Chauhan V, Galwankar S, et al. Gender disparities and burnout among emergency physicians: a systematic review by the World Academic Council of Emergency Medicine-Female Leadership Academy for Medical Excellence. </t>
    </r>
    <r>
      <rPr>
        <i val="true"/>
        <sz val="10"/>
        <rFont val="Arial"/>
        <family val="0"/>
        <charset val="1"/>
      </rPr>
      <t xml:space="preserve">West J Emerg Med</t>
    </r>
    <r>
      <rPr>
        <sz val="10"/>
        <rFont val="Arial"/>
        <family val="0"/>
        <charset val="1"/>
      </rPr>
      <t xml:space="preserve">. 2025;26(2):338-346. doi:10.5811/westjem.29331</t>
    </r>
  </si>
  <si>
    <t xml:space="preserve">Calderón-García et al</t>
  </si>
  <si>
    <t xml:space="preserve">Gender differences in autonomic and psychological stress responses among educators: a heart rate variability and psychological assessment study</t>
  </si>
  <si>
    <t xml:space="preserve">Front Psychol</t>
  </si>
  <si>
    <t xml:space="preserve">Spain</t>
  </si>
  <si>
    <t xml:space="preserve">Teachers (compulsory and university level)</t>
  </si>
  <si>
    <t xml:space="preserve">235</t>
  </si>
  <si>
    <t xml:space="preserve">Stress, anxiety, burnout and personality questionnaires</t>
  </si>
  <si>
    <t xml:space="preserve">HRV (at least 6 min seated)</t>
  </si>
  <si>
    <t xml:space="preserve">Polar V800 heart rate monitor</t>
  </si>
  <si>
    <t xml:space="preserve">Women reported more stress and anxiety than men but had higher HRV (stronger parasympathetic activity).</t>
  </si>
  <si>
    <t xml:space="preserve">Cross-sectional; short seated recording; teachers only.</t>
  </si>
  <si>
    <t xml:space="preserve">Self-reported stress and HRV may not line up in women.</t>
  </si>
  <si>
    <t xml:space="preserve">10.3389/fpsyg.2024.1422709</t>
  </si>
  <si>
    <r>
      <rPr>
        <sz val="10"/>
        <rFont val="Arial"/>
        <family val="0"/>
        <charset val="1"/>
      </rPr>
      <t xml:space="preserve">Calderón-García A, Álvarez-Gallardo E, Belinchón-deMiguel P, Clemente-Suárez VJ. Gender differences in autonomic and psychological stress responses among educators: a heart rate variability and psychological assessment study. </t>
    </r>
    <r>
      <rPr>
        <i val="true"/>
        <sz val="10"/>
        <rFont val="Arial"/>
        <family val="0"/>
        <charset val="1"/>
      </rPr>
      <t xml:space="preserve">Front Psychol</t>
    </r>
    <r>
      <rPr>
        <sz val="10"/>
        <rFont val="Arial"/>
        <family val="0"/>
        <charset val="1"/>
      </rPr>
      <t xml:space="preserve">. 2024;15:1422709. doi:10.3389/fpsyg.2024.1422709</t>
    </r>
  </si>
  <si>
    <t xml:space="preserve">de Jager et al</t>
  </si>
  <si>
    <t xml:space="preserve">Wearable-derived heart rate variability across the menstrual cycle, hormonal contraceptive use, and reproductive life stages in females: a living systematic review</t>
  </si>
  <si>
    <t xml:space="preserve">Sports Med</t>
  </si>
  <si>
    <t xml:space="preserve">Multiple (living review)</t>
  </si>
  <si>
    <t xml:space="preserve">Females of any age</t>
  </si>
  <si>
    <t xml:space="preserve">16 studies</t>
  </si>
  <si>
    <t xml:space="preserve">Living systematic review</t>
  </si>
  <si>
    <t xml:space="preserve">Wearable- or mobile-measured HRV</t>
  </si>
  <si>
    <t xml:space="preserve">Various wearable/mobile devices</t>
  </si>
  <si>
    <t xml:space="preserve">HRV higher early in the menstrual cycle and lower toward the end (3%–9% difference). Hormonal contraceptive users had lower HRV, especially late in the cycle. HRV tended to decline after menopause.</t>
  </si>
  <si>
    <t xml:space="preserve">Studies classified cycle phase differently; evidence quality moderate.</t>
  </si>
  <si>
    <t xml:space="preserve">Need to record cycle phase and contraceptive use.</t>
  </si>
  <si>
    <t xml:space="preserve">Women-Specific Considerations; Gaps in the Literature</t>
  </si>
  <si>
    <t xml:space="preserve">10.1007/s40279-025-02388-y</t>
  </si>
  <si>
    <r>
      <rPr>
        <sz val="10"/>
        <rFont val="Arial"/>
        <family val="0"/>
        <charset val="1"/>
      </rPr>
      <t xml:space="preserve">de Jager E, Caulfield B, Angelidi E, MacNamee B, Holden S. Wearable-derived heart rate variability across the menstrual cycle, hormonal contraceptive use, and reproductive life stages in females: a living systematic review. </t>
    </r>
    <r>
      <rPr>
        <i val="true"/>
        <sz val="10"/>
        <rFont val="Arial"/>
        <family val="0"/>
        <charset val="1"/>
      </rPr>
      <t xml:space="preserve">Sports Med</t>
    </r>
    <r>
      <rPr>
        <sz val="10"/>
        <rFont val="Arial"/>
        <family val="0"/>
        <charset val="1"/>
      </rPr>
      <t xml:space="preserve">. 2026;56(5):1153-1173. doi:10.1007/s40279-025-02388-y</t>
    </r>
  </si>
  <si>
    <t xml:space="preserve">Alzueta et al</t>
  </si>
  <si>
    <t xml:space="preserve">Tracking sleep, temperature, heart rate, and daily symptoms across the menstrual cycle with the Oura Ring in healthy women</t>
  </si>
  <si>
    <t xml:space="preserve">Int J Womens Health</t>
  </si>
  <si>
    <t xml:space="preserve">USA (California)</t>
  </si>
  <si>
    <t xml:space="preserve">Healthy women with regular ovulatory cycles (mean age 24)</t>
  </si>
  <si>
    <t xml:space="preserve">26</t>
  </si>
  <si>
    <t xml:space="preserve">Longitudinal, across one menstrual cycle</t>
  </si>
  <si>
    <t xml:space="preserve">Daily diary: mood, readiness, symptoms</t>
  </si>
  <si>
    <t xml:space="preserve">Oura sleep continuity and stages; diary sleep quality</t>
  </si>
  <si>
    <t xml:space="preserve">Oura heart rate, HRV (RMSSD), skin temperature</t>
  </si>
  <si>
    <t xml:space="preserve">Oura sleep measures and perceived sleep did not change across the cycle. Skin temperature and heart rate did change.</t>
  </si>
  <si>
    <t xml:space="preserve">Small; one cycle each; healthy young women only.</t>
  </si>
  <si>
    <t xml:space="preserve">Cycle phase affects heart rate more than sleep, so cycle phase should be recorded.</t>
  </si>
  <si>
    <t xml:space="preserve">10.2147/ijwh.s341917</t>
  </si>
  <si>
    <r>
      <rPr>
        <sz val="10"/>
        <rFont val="Arial"/>
        <family val="0"/>
        <charset val="1"/>
      </rPr>
      <t xml:space="preserve">Alzueta E, de Zambotti M, Javitz H, et al. Tracking sleep, temperature, heart rate, and daily symptoms across the menstrual cycle with the Oura Ring in healthy women. </t>
    </r>
    <r>
      <rPr>
        <i val="true"/>
        <sz val="10"/>
        <rFont val="Arial"/>
        <family val="0"/>
        <charset val="1"/>
      </rPr>
      <t xml:space="preserve">Int J Womens Health</t>
    </r>
    <r>
      <rPr>
        <sz val="10"/>
        <rFont val="Arial"/>
        <family val="0"/>
        <charset val="1"/>
      </rPr>
      <t xml:space="preserve">. 2022;14:491-503. doi:10.2147/ijwh.s341917</t>
    </r>
  </si>
  <si>
    <t xml:space="preserve">Holmes et al</t>
  </si>
  <si>
    <t xml:space="preserve">Four core circadian behaviors that improve cardiorespiratory fitness through consistent sleep</t>
  </si>
  <si>
    <t xml:space="preserve">Sleep</t>
  </si>
  <si>
    <t xml:space="preserve">WHOOP members (country not stated in abstract)</t>
  </si>
  <si>
    <t xml:space="preserve">Healthy adult WHOOP users</t>
  </si>
  <si>
    <t xml:space="preserve">38 838</t>
  </si>
  <si>
    <t xml:space="preserve">Pre–post quasi-experiment with matched controls (31-day “Core Four” challenge)</t>
  </si>
  <si>
    <t xml:space="preserve">Sleep consistency, duration, duration variability</t>
  </si>
  <si>
    <t xml:space="preserve">Resting heart rate, HRV, cardiorespiratory fitness</t>
  </si>
  <si>
    <t xml:space="preserve">WHOOP 3.0 and 4.0</t>
  </si>
  <si>
    <t xml:space="preserve">Compared with matched controls, participants improved sleep consistency, resting heart rate and HRV. Better sleep consistency partly explained the gains in fitness and parasympathetic activity.</t>
  </si>
  <si>
    <t xml:space="preserve">Not randomised; authors work for WHOOP; healthy users, no burnout measure.</t>
  </si>
  <si>
    <t xml:space="preserve">Links sleep consistency with HRV in a very large wearable sample.</t>
  </si>
  <si>
    <t xml:space="preserve">Wearable Device Studies</t>
  </si>
  <si>
    <t xml:space="preserve">10.1093/sleep/zsaf318</t>
  </si>
  <si>
    <r>
      <rPr>
        <sz val="10"/>
        <rFont val="Arial"/>
        <family val="0"/>
        <charset val="1"/>
      </rPr>
      <t xml:space="preserve">Holmes KE, Kim J, Fielding F, Zeitzer JM, von Hippel W. Four core circadian behaviors that improve cardiorespiratory fitness through consistent sleep. </t>
    </r>
    <r>
      <rPr>
        <i val="true"/>
        <sz val="10"/>
        <rFont val="Arial"/>
        <family val="0"/>
        <charset val="1"/>
      </rPr>
      <t xml:space="preserve">Sleep</t>
    </r>
    <r>
      <rPr>
        <sz val="10"/>
        <rFont val="Arial"/>
        <family val="0"/>
        <charset val="1"/>
      </rPr>
      <t xml:space="preserve">. 2026;49(2):zsaf318. doi:10.1093/sleep/zsaf318</t>
    </r>
  </si>
  <si>
    <t xml:space="preserve">Azadifar et al</t>
  </si>
  <si>
    <t xml:space="preserve">Severity of depression and anxiety symptoms is reflected in physiological and behavioral metrics collected from a consumer-grade wearable ring</t>
  </si>
  <si>
    <t xml:space="preserve">BMC Med</t>
  </si>
  <si>
    <t xml:space="preserve">Finland</t>
  </si>
  <si>
    <t xml:space="preserve">Adults aged 33–35 (Northern Finland Birth Cohort 1986)</t>
  </si>
  <si>
    <t xml:space="preserve">1290</t>
  </si>
  <si>
    <t xml:space="preserve">Cross-sectional (population cohort)</t>
  </si>
  <si>
    <t xml:space="preserve">Anxiety (GAD-7); depression and anxiety (HSCL-25); no burnout measure</t>
  </si>
  <si>
    <t xml:space="preserve">Oura sleep stages (REM, deep, light)</t>
  </si>
  <si>
    <t xml:space="preserve">Night-time heart rate and RMSSD</t>
  </si>
  <si>
    <t xml:space="preserve">Oura ring (2 weeks)</t>
  </si>
  <si>
    <t xml:space="preserve">People with moderate-to-severe anxiety, or with depression and anxiety symptoms, had less REM and deep sleep, more light sleep, higher night-time heart rate, lower RMSSD and less daytime activity.</t>
  </si>
  <si>
    <t xml:space="preserve">Cross-sectional; one age group; depression and anxiety, not burnout.</t>
  </si>
  <si>
    <t xml:space="preserve">Shows nightly Oura heart rate and RMSSD differ with mental health symptoms.</t>
  </si>
  <si>
    <t xml:space="preserve">10.1186/s12916-026-05276-y</t>
  </si>
  <si>
    <r>
      <rPr>
        <sz val="10"/>
        <rFont val="Arial"/>
        <family val="0"/>
        <charset val="1"/>
      </rPr>
      <t xml:space="preserve">Azadifar S, Sameh A, Nauha L, Kärmeniemi M, Niemelä M, Farrahi V. Severity of depression and anxiety symptoms is reflected in physiological and behavioral metrics collected from a consumer-grade wearable ring. </t>
    </r>
    <r>
      <rPr>
        <i val="true"/>
        <sz val="10"/>
        <rFont val="Arial"/>
        <family val="0"/>
        <charset val="1"/>
      </rPr>
      <t xml:space="preserve">BMC Med</t>
    </r>
    <r>
      <rPr>
        <sz val="10"/>
        <rFont val="Arial"/>
        <family val="0"/>
        <charset val="1"/>
      </rPr>
      <t xml:space="preserve">. 2026;24(1):532. doi:10.1186/s12916-026-05276-y</t>
    </r>
  </si>
  <si>
    <t xml:space="preserve">Perrone et al</t>
  </si>
  <si>
    <t xml:space="preserve">Physiologic readiness and subjective workload of performing operations: a prospective observational study of attending and trainee surgeons</t>
  </si>
  <si>
    <t xml:space="preserve">Am J Surg</t>
  </si>
  <si>
    <t xml:space="preserve">Surgeons (29 attendings, 37 trainees)</t>
  </si>
  <si>
    <t xml:space="preserve">66</t>
  </si>
  <si>
    <t xml:space="preserve">Prospective observational</t>
  </si>
  <si>
    <t xml:space="preserve">Self-rated workload of operations</t>
  </si>
  <si>
    <t xml:space="preserve">HRV-based recovery score</t>
  </si>
  <si>
    <t xml:space="preserve">Wearable biometric sensor (brand not named in abstract)</t>
  </si>
  <si>
    <t xml:space="preserve">Recovery score was not linked to perceived workload in trainees or attendings. Junior surgeons had higher recovery scores than senior surgeons. Trainees' self-ratings differed by gender.</t>
  </si>
  <si>
    <t xml:space="preserve">Surgeons only; measured workload, not burnout.</t>
  </si>
  <si>
    <t xml:space="preserve">Recovery scores are not shown to reflect stress, so raw HRV and RHR are better main outcomes.</t>
  </si>
  <si>
    <t xml:space="preserve">Wearable Device Studies; Gaps in the Literature</t>
  </si>
  <si>
    <t xml:space="preserve">10.1016/j.amjsurg.2024.116175</t>
  </si>
  <si>
    <r>
      <rPr>
        <sz val="10"/>
        <rFont val="Arial"/>
        <family val="0"/>
        <charset val="1"/>
      </rPr>
      <t xml:space="preserve">Perrone K, Earley M, Rosenberg G, Pugh C, Kin C. Physiologic readiness and subjective workload of performing operations: a prospective observational study of attending and trainee surgeons. </t>
    </r>
    <r>
      <rPr>
        <i val="true"/>
        <sz val="10"/>
        <rFont val="Arial"/>
        <family val="0"/>
        <charset val="1"/>
      </rPr>
      <t xml:space="preserve">Am J Surg</t>
    </r>
    <r>
      <rPr>
        <sz val="10"/>
        <rFont val="Arial"/>
        <family val="0"/>
        <charset val="1"/>
      </rPr>
      <t xml:space="preserve">. 2025;241:116175. doi:10.1016/j.amjsurg.2024.116175</t>
    </r>
  </si>
  <si>
    <t xml:space="preserve">Norful et al</t>
  </si>
  <si>
    <t xml:space="preserve">Exploring longitudinal physiologic stress measurement and sleep quality interventions to improve psychological well-being in nurses: a pilot study</t>
  </si>
  <si>
    <t xml:space="preserve">Health Psychol Behav Med</t>
  </si>
  <si>
    <t xml:space="preserve">25</t>
  </si>
  <si>
    <t xml:space="preserve">Pilot pre–post trial, 8 weeks (sleep kit from week 4)</t>
  </si>
  <si>
    <t xml:space="preserve">Stress, burnout and depressive symptom surveys</t>
  </si>
  <si>
    <t xml:space="preserve">Self-reported sleep quality and latency; Oura sleep</t>
  </si>
  <si>
    <t xml:space="preserve">Oura HRV</t>
  </si>
  <si>
    <t xml:space="preserve">Self-reported sleep latency improved (p = 0.03). No significant change in Oura physiological measures or depressive symptoms.</t>
  </si>
  <si>
    <t xml:space="preserve">Small pilot; no control group.</t>
  </si>
  <si>
    <t xml:space="preserve">Shows 8 weeks of Oura monitoring is feasible in a mostly female sample.</t>
  </si>
  <si>
    <t xml:space="preserve">10.1080/21642850.2025.2503376</t>
  </si>
  <si>
    <r>
      <rPr>
        <sz val="10"/>
        <rFont val="Arial"/>
        <family val="0"/>
        <charset val="1"/>
      </rPr>
      <t xml:space="preserve">Norful AA, de Jacq K, Zhao J, et al. Exploring longitudinal physiologic stress measurement and sleep quality interventions to improve psychological well-being in nurses: a pilot study. </t>
    </r>
    <r>
      <rPr>
        <i val="true"/>
        <sz val="10"/>
        <rFont val="Arial"/>
        <family val="0"/>
        <charset val="1"/>
      </rPr>
      <t xml:space="preserve">Health Psychol Behav Med</t>
    </r>
    <r>
      <rPr>
        <sz val="10"/>
        <rFont val="Arial"/>
        <family val="0"/>
        <charset val="1"/>
      </rPr>
      <t xml:space="preserve">. 2025;13(1):2503376. doi:10.1080/21642850.2025.2503376</t>
    </r>
  </si>
  <si>
    <t xml:space="preserve">Rosenbach et al</t>
  </si>
  <si>
    <t xml:space="preserve">Assessing stress level scores against wearables-driven physiological measurements</t>
  </si>
  <si>
    <t xml:space="preserve">Israel*</t>
  </si>
  <si>
    <t xml:space="preserve">Adults in a laboratory study</t>
  </si>
  <si>
    <t xml:space="preserve">60 (after a 29-person pilot)</t>
  </si>
  <si>
    <t xml:space="preserve">Laboratory validation (rest vs mental stress tasks)</t>
  </si>
  <si>
    <t xml:space="preserve">Device validation</t>
  </si>
  <si>
    <t xml:space="preserve">Self-reported stress</t>
  </si>
  <si>
    <t xml:space="preserve">Heart rate, HRV (RMSSD, SD2/SD1, HF power), Garmin stress score</t>
  </si>
  <si>
    <t xml:space="preserve">Garmin Vivosmart 4 vs Polar H10 chest strap</t>
  </si>
  <si>
    <t xml:space="preserve">Garmin stress score differed between rest and stress and correlated with heart rate and RMSSD, but only marginally predicted self-reported stress. Heart rate was the strongest predictor. Responses were influenced by sex.</t>
  </si>
  <si>
    <t xml:space="preserve">Laboratory tasks, not everyday stress.</t>
  </si>
  <si>
    <t xml:space="preserve">Garmin's stress score should not replace raw heart rate and HRV.</t>
  </si>
  <si>
    <t xml:space="preserve">10.1002/smi.70125</t>
  </si>
  <si>
    <r>
      <rPr>
        <sz val="10"/>
        <rFont val="Arial"/>
        <family val="0"/>
        <charset val="1"/>
      </rPr>
      <t xml:space="preserve">Rosenbach H, Itzkovitch A, Gidron Y, Schonberg T. Assessing stress level scores against wearables-driven physiological measurements. </t>
    </r>
    <r>
      <rPr>
        <i val="true"/>
        <sz val="10"/>
        <rFont val="Arial"/>
        <family val="0"/>
        <charset val="1"/>
      </rPr>
      <t xml:space="preserve">Stress Health</t>
    </r>
    <r>
      <rPr>
        <sz val="10"/>
        <rFont val="Arial"/>
        <family val="0"/>
        <charset val="1"/>
      </rPr>
      <t xml:space="preserve">. 2025;41(6):e70125. doi:10.1002/smi.70125</t>
    </r>
  </si>
  <si>
    <t xml:space="preserve">Agarwal et al</t>
  </si>
  <si>
    <t xml:space="preserve">Investigating the feasibility of using a wearable device to measure physiologic health data in emergency nurses and residents: observational cohort study</t>
  </si>
  <si>
    <t xml:space="preserve">JMIR Form Res</t>
  </si>
  <si>
    <t xml:space="preserve">Emergency medicine residents and nurses</t>
  </si>
  <si>
    <t xml:space="preserve">20</t>
  </si>
  <si>
    <t xml:space="preserve">Pilot feasibility cohort, 6 weeks</t>
  </si>
  <si>
    <t xml:space="preserve">Professional Fulfillment Index (workplace exhaustion, interpersonal disengagement); anxiety and depression</t>
  </si>
  <si>
    <t xml:space="preserve">WHOOP sleep</t>
  </si>
  <si>
    <t xml:space="preserve">WHOOP HRV and recovery</t>
  </si>
  <si>
    <t xml:space="preserve">WHOOP band</t>
  </si>
  <si>
    <t xml:space="preserve">Only 10 of 20 used the device consistently; participants preferred more common wearables such as Apple Watch or Fitbit. At baseline: moderate workplace exhaustion and low professional fulfillment.</t>
  </si>
  <si>
    <t xml:space="preserve">Very small; feasibility only.</t>
  </si>
  <si>
    <t xml:space="preserve">Adherence warning: choose a familiar device and plan for drop-off.</t>
  </si>
  <si>
    <t xml:space="preserve">10.2196/51569</t>
  </si>
  <si>
    <r>
      <rPr>
        <sz val="10"/>
        <rFont val="Arial"/>
        <family val="0"/>
        <charset val="1"/>
      </rPr>
      <t xml:space="preserve">Agarwal AK, Gonzales R, Scott K, Merchant R. Investigating the feasibility of using a wearable device to measure physiologic health data in emergency nurses and residents: observational cohort study. </t>
    </r>
    <r>
      <rPr>
        <i val="true"/>
        <sz val="10"/>
        <rFont val="Arial"/>
        <family val="0"/>
        <charset val="1"/>
      </rPr>
      <t xml:space="preserve">JMIR Form Res</t>
    </r>
    <r>
      <rPr>
        <sz val="10"/>
        <rFont val="Arial"/>
        <family val="0"/>
        <charset val="1"/>
      </rPr>
      <t xml:space="preserve">. 2024;8:e51569. doi:10.2196/51569</t>
    </r>
  </si>
  <si>
    <t xml:space="preserve">Wilton et al</t>
  </si>
  <si>
    <t xml:space="preserve">The Burnout PRedictiOn Using Wearable aNd ArtIficial IntelligEnce (BROWNIE) study: a decentralized digital health protocol to predict burnout in registered nurses</t>
  </si>
  <si>
    <t xml:space="preserve">BMC Nurs</t>
  </si>
  <si>
    <t xml:space="preserve">Registered nurses (planned)</t>
  </si>
  <si>
    <t xml:space="preserve">360 planned (3 cohorts)</t>
  </si>
  <si>
    <t xml:space="preserve">Study protocol, 1 year, decentralized</t>
  </si>
  <si>
    <t xml:space="preserve">Baseline and quarterly psychological and workplace surveys</t>
  </si>
  <si>
    <t xml:space="preserve">Smartwatch sleep data</t>
  </si>
  <si>
    <t xml:space="preserve">Smartwatch heart rate</t>
  </si>
  <si>
    <t xml:space="preserve">Consumer smartwatch (brand not named in abstract)</t>
  </si>
  <si>
    <t xml:space="preserve">Protocol only, no results yet. Aims to predict burnout with AI from smartwatch and hospital data.</t>
  </si>
  <si>
    <t xml:space="preserve">No results; nurses only.</t>
  </si>
  <si>
    <t xml:space="preserve">Shows the field is moving toward wearable-based burnout prediction.</t>
  </si>
  <si>
    <t xml:space="preserve">10.1186/s12912-024-01711-8</t>
  </si>
  <si>
    <r>
      <rPr>
        <sz val="10"/>
        <rFont val="Arial"/>
        <family val="0"/>
        <charset val="1"/>
      </rPr>
      <t xml:space="preserve">Wilton AR, Sheffield K, Wilkes Q, et al. The Burnout PRedictiOn Using Wearable aNd ArtIficial IntelligEnce (BROWNIE) study: a decentralized digital health protocol to predict burnout in registered nurses. </t>
    </r>
    <r>
      <rPr>
        <i val="true"/>
        <sz val="10"/>
        <rFont val="Arial"/>
        <family val="0"/>
        <charset val="1"/>
      </rPr>
      <t xml:space="preserve">BMC Nurs</t>
    </r>
    <r>
      <rPr>
        <sz val="10"/>
        <rFont val="Arial"/>
        <family val="0"/>
        <charset val="1"/>
      </rPr>
      <t xml:space="preserve">. 2024;23(1):114. doi:10.1186/s12912-024-01711-8</t>
    </r>
  </si>
  <si>
    <t xml:space="preserve">Hirten et al</t>
  </si>
  <si>
    <t xml:space="preserve">A machine learning approach to determine resilience utilizing wearable device data: analysis of an observational cohort</t>
  </si>
  <si>
    <t xml:space="preserve">JAMIA Open</t>
  </si>
  <si>
    <t xml:space="preserve">USA (New York City, 7 hospitals)</t>
  </si>
  <si>
    <t xml:space="preserve">Healthcare workers (Warrior Watch Study)</t>
  </si>
  <si>
    <t xml:space="preserve">329</t>
  </si>
  <si>
    <t xml:space="preserve">Secondary analysis of a prospective cohort</t>
  </si>
  <si>
    <t xml:space="preserve">Resilience (CD-RISC-2), optimism, emotional support; no burnout measure</t>
  </si>
  <si>
    <t xml:space="preserve">Passively collected Apple Watch physiological data</t>
  </si>
  <si>
    <t xml:space="preserve">Apple Watch</t>
  </si>
  <si>
    <t xml:space="preserve">Machine learning on wearable data predicted high vs low resilience only weakly (AUC 0.60); a composite positive-psychology score reached AUC 0.65.</t>
  </si>
  <si>
    <t xml:space="preserve">Post hoc analysis; resilience, not burnout.</t>
  </si>
  <si>
    <t xml:space="preserve">Wearable data alone only weakly predicts psychological states.</t>
  </si>
  <si>
    <t xml:space="preserve">10.1093/jamiaopen/ooad029</t>
  </si>
  <si>
    <r>
      <rPr>
        <sz val="10"/>
        <rFont val="Arial"/>
        <family val="0"/>
        <charset val="1"/>
      </rPr>
      <t xml:space="preserve">Hirten RP, Suprun M, Danieletto M, et al. A machine learning approach to determine resilience utilizing wearable device data: analysis of an observational cohort. </t>
    </r>
    <r>
      <rPr>
        <i val="true"/>
        <sz val="10"/>
        <rFont val="Arial"/>
        <family val="0"/>
        <charset val="1"/>
      </rPr>
      <t xml:space="preserve">JAMIA Open</t>
    </r>
    <r>
      <rPr>
        <sz val="10"/>
        <rFont val="Arial"/>
        <family val="0"/>
        <charset val="1"/>
      </rPr>
      <t xml:space="preserve">. 2023;6(2):ooad029. doi:10.1093/jamiaopen/ooad029</t>
    </r>
  </si>
  <si>
    <t xml:space="preserve">Sagun et al</t>
  </si>
  <si>
    <t xml:space="preserve">iSleepFirst: burnout, fatigue, and wearable-tracked sleep deprivation among residents staffing the medical intensive care unit</t>
  </si>
  <si>
    <t xml:space="preserve">Sleep Breath</t>
  </si>
  <si>
    <t xml:space="preserve">Resident physicians on a medical ICU rotation</t>
  </si>
  <si>
    <t xml:space="preserve">40</t>
  </si>
  <si>
    <t xml:space="preserve">Prospective cohort, 4 weeks (2 before and 2 during ICU)</t>
  </si>
  <si>
    <t xml:space="preserve">Oldenburg Burnout Inventory; Epworth Sleepiness Scale</t>
  </si>
  <si>
    <t xml:space="preserve">Wearable-tracked sleep minutes; sleep diary</t>
  </si>
  <si>
    <t xml:space="preserve">Wearable sleep tracker (brand not named in abstract)</t>
  </si>
  <si>
    <t xml:space="preserve">Wearable-measured sleep fell from 402 to 389 min/night during ICU. Burnout and sleepiness increased and vigilance scores worsened. Residents overestimated their sleep.</t>
  </si>
  <si>
    <t xml:space="preserve">Small; short; one type of rotation.</t>
  </si>
  <si>
    <t xml:space="preserve">Wearables capture sleep loss in demanding periods; self-reports overestimate sleep.</t>
  </si>
  <si>
    <t xml:space="preserve">10.1007/s11325-023-02839-8</t>
  </si>
  <si>
    <r>
      <rPr>
        <sz val="10"/>
        <rFont val="Arial"/>
        <family val="0"/>
        <charset val="1"/>
      </rPr>
      <t xml:space="preserve">Sagun S, DeCicco D, Badami V, et al. iSleepFirst: burnout, fatigue, and wearable-tracked sleep deprivation among residents staffing the medical intensive care unit. </t>
    </r>
    <r>
      <rPr>
        <i val="true"/>
        <sz val="10"/>
        <rFont val="Arial"/>
        <family val="0"/>
        <charset val="1"/>
      </rPr>
      <t xml:space="preserve">Sleep Breath</t>
    </r>
    <r>
      <rPr>
        <sz val="10"/>
        <rFont val="Arial"/>
        <family val="0"/>
        <charset val="1"/>
      </rPr>
      <t xml:space="preserve">. 2023;27(6):2491-2497. doi:10.1007/s11325-023-02839-8</t>
    </r>
  </si>
  <si>
    <t xml:space="preserve">Miller et al</t>
  </si>
  <si>
    <t xml:space="preserve">A validation of six wearable devices for estimating sleep, heart rate and heart rate variability in healthy adults</t>
  </si>
  <si>
    <t xml:space="preserve">Sensors (Basel)</t>
  </si>
  <si>
    <t xml:space="preserve">Australia*</t>
  </si>
  <si>
    <t xml:space="preserve">Healthy adults (mean age 25)</t>
  </si>
  <si>
    <t xml:space="preserve">53</t>
  </si>
  <si>
    <t xml:space="preserve">Laboratory validation, 1 night vs polysomnography and ECG</t>
  </si>
  <si>
    <t xml:space="preserve">Sleep vs wake and sleep stages</t>
  </si>
  <si>
    <t xml:space="preserve">Heart rate and HRV before and during sleep</t>
  </si>
  <si>
    <t xml:space="preserve">Apple Watch S6, Garmin Forerunner 245 Music, Polar Vantage V, Oura Gen 2, WHOOP 3.0, Somfit</t>
  </si>
  <si>
    <t xml:space="preserve">Sleep–wake agreement 86%–89% (κ 0.30–0.51). Sleep stage agreement 50%–65%. All valid for sleep timing and duration, not for sleep stages.</t>
  </si>
  <si>
    <t xml:space="preserve">One night; healthy young adults; laboratory setting.</t>
  </si>
  <si>
    <t xml:space="preserve">Device sleep duration and timing are usable; sleep stages need caution.</t>
  </si>
  <si>
    <t xml:space="preserve">10.3390/s22166317</t>
  </si>
  <si>
    <r>
      <rPr>
        <sz val="10"/>
        <rFont val="Arial"/>
        <family val="0"/>
        <charset val="1"/>
      </rPr>
      <t xml:space="preserve">Miller DJ, Sargent C, Roach GD. A validation of six wearable devices for estimating sleep, heart rate and heart rate variability in healthy adults. </t>
    </r>
    <r>
      <rPr>
        <i val="true"/>
        <sz val="10"/>
        <rFont val="Arial"/>
        <family val="0"/>
        <charset val="1"/>
      </rPr>
      <t xml:space="preserve">Sensors (Basel)</t>
    </r>
    <r>
      <rPr>
        <sz val="10"/>
        <rFont val="Arial"/>
        <family val="0"/>
        <charset val="1"/>
      </rPr>
      <t xml:space="preserve">. 2022;22(16):6317. doi:10.3390/s22166317</t>
    </r>
  </si>
  <si>
    <t xml:space="preserve">Chinoy et al</t>
  </si>
  <si>
    <t xml:space="preserve">Performance of seven consumer sleep-tracking devices compared with polysomnography</t>
  </si>
  <si>
    <t xml:space="preserve">Healthy young adults</t>
  </si>
  <si>
    <t xml:space="preserve">34</t>
  </si>
  <si>
    <t xml:space="preserve">Laboratory validation, 3 nights (incl. disrupted sleep) vs polysomnography</t>
  </si>
  <si>
    <t xml:space="preserve">Sleep vs wake, sleep stages</t>
  </si>
  <si>
    <t xml:space="preserve">Fitbit Alta HR, Garmin Fenix 5S, Garmin Vivosmart 3, Fatigue Science Readiband (+ 3 non-wearables)</t>
  </si>
  <si>
    <t xml:space="preserve">Most devices (including Fitbit Alta HR) did as well as or better than actigraphy; Garmin devices did worse. Sensitivity ≥0.93 but specificity 0.18–0.54. Worse on disrupted nights.</t>
  </si>
  <si>
    <t xml:space="preserve">Laboratory; healthy young adults; older device models.</t>
  </si>
  <si>
    <t xml:space="preserve">Devices underestimate wake time, so sleep efficiency needs caution.</t>
  </si>
  <si>
    <t xml:space="preserve">10.1093/sleep/zsaa291</t>
  </si>
  <si>
    <r>
      <rPr>
        <sz val="10"/>
        <rFont val="Arial"/>
        <family val="0"/>
        <charset val="1"/>
      </rPr>
      <t xml:space="preserve">Chinoy ED, Cuellar JA, Huwa KE, et al. Performance of seven consumer sleep-tracking devices compared with polysomnography. </t>
    </r>
    <r>
      <rPr>
        <i val="true"/>
        <sz val="10"/>
        <rFont val="Arial"/>
        <family val="0"/>
        <charset val="1"/>
      </rPr>
      <t xml:space="preserve">Sleep</t>
    </r>
    <r>
      <rPr>
        <sz val="10"/>
        <rFont val="Arial"/>
        <family val="0"/>
        <charset val="1"/>
      </rPr>
      <t xml:space="preserve">. 2021;44(5):zsaa291. doi:10.1093/sleep/zsaa291</t>
    </r>
  </si>
  <si>
    <t xml:space="preserve">Dial et al</t>
  </si>
  <si>
    <t xml:space="preserve">Validation of nocturnal resting heart rate and heart rate variability in consumer wearables</t>
  </si>
  <si>
    <t xml:space="preserve">Healthy adults</t>
  </si>
  <si>
    <t xml:space="preserve">13 (536 nights)</t>
  </si>
  <si>
    <t xml:space="preserve">Validation vs ECG during sleep</t>
  </si>
  <si>
    <t xml:space="preserve">Night-time resting heart rate and HRV</t>
  </si>
  <si>
    <t xml:space="preserve">Oura Gen 3 and Gen 4, WHOOP 4.0, Garmin Fenix 6, Polar Grit X Pro</t>
  </si>
  <si>
    <t xml:space="preserve">Resting heart rate: Oura most accurate (MAPE 1.67%–1.94%), WHOOP moderate (3.00%), Polar poor. HRV (MAPE): Oura Gen 4 5.96%, Oura Gen 3 7.15%, WHOOP 8.17%, Garmin 10.52%, Polar 16.32%.</t>
  </si>
  <si>
    <t xml:space="preserve">Only 13 people; Garmin excluded from resting heart rate analysis.</t>
  </si>
  <si>
    <t xml:space="preserve">Device choice matters for nightly HRV accuracy.</t>
  </si>
  <si>
    <t xml:space="preserve">10.14814/phy2.70527</t>
  </si>
  <si>
    <r>
      <rPr>
        <sz val="10"/>
        <rFont val="Arial"/>
        <family val="0"/>
        <charset val="1"/>
      </rPr>
      <t xml:space="preserve">Dial MB, Hollander ME, Vatne EA, Emerson AM, Edwards NA, Hagen JA. Validation of nocturnal resting heart rate and heart rate variability in consumer wearables. </t>
    </r>
    <r>
      <rPr>
        <i val="true"/>
        <sz val="10"/>
        <rFont val="Arial"/>
        <family val="0"/>
        <charset val="1"/>
      </rPr>
      <t xml:space="preserve">Physiol Rep</t>
    </r>
    <r>
      <rPr>
        <sz val="10"/>
        <rFont val="Arial"/>
        <family val="0"/>
        <charset val="1"/>
      </rPr>
      <t xml:space="preserve">. 2025;13(16):e70527. doi:10.14814/phy2.70527</t>
    </r>
  </si>
  <si>
    <t xml:space="preserve">Use of physiological data from a wearable device to identify SARS-CoV-2 infection and symptoms and predict COVID-19 diagnosis: observational study</t>
  </si>
  <si>
    <t xml:space="preserve">J Med Internet Res</t>
  </si>
  <si>
    <t xml:space="preserve">USA (Mount Sinai Health System, New York)</t>
  </si>
  <si>
    <t xml:space="preserve">Health care workers (Warrior Watch Study)</t>
  </si>
  <si>
    <t xml:space="preserve">297</t>
  </si>
  <si>
    <t xml:space="preserve">Prospective observational cohort</t>
  </si>
  <si>
    <t xml:space="preserve">Daily COVID-19 symptom surveys; no burnout measure</t>
  </si>
  <si>
    <t xml:space="preserve">HRV as SDNN</t>
  </si>
  <si>
    <t xml:space="preserve">Apple Watch HRV recorded as SDNN. The daily (circadian) SDNN pattern differed between people with and without COVID-19 and changed around diagnosis and symptom onset.</t>
  </si>
  <si>
    <t xml:space="preserve">About infection, not stress or burnout.</t>
  </si>
  <si>
    <t xml:space="preserve">Source that Apple Watch reports SDNN, not RMSSD, so values can't be pooled directly with other devices.</t>
  </si>
  <si>
    <t xml:space="preserve">10.2196/26107</t>
  </si>
  <si>
    <r>
      <rPr>
        <sz val="10"/>
        <rFont val="Arial"/>
        <family val="0"/>
        <charset val="1"/>
      </rPr>
      <t xml:space="preserve">Hirten RP, Danieletto M, Tomalin L, et al. Use of physiological data from a wearable device to identify SARS-CoV-2 infection and symptoms and predict COVID-19 diagnosis: observational study. </t>
    </r>
    <r>
      <rPr>
        <i val="true"/>
        <sz val="10"/>
        <rFont val="Arial"/>
        <family val="0"/>
        <charset val="1"/>
      </rPr>
      <t xml:space="preserve">J Med Internet Res</t>
    </r>
    <r>
      <rPr>
        <sz val="10"/>
        <rFont val="Arial"/>
        <family val="0"/>
        <charset val="1"/>
      </rPr>
      <t xml:space="preserve">. 2021;23(2):e26107. doi:10.2196/26107</t>
    </r>
  </si>
  <si>
    <t xml:space="preserve">Summary of the Literature Matrix</t>
  </si>
  <si>
    <t xml:space="preserve">All counts are formulas that read the Literature Matrix sheet, so they update if you edit it.</t>
  </si>
  <si>
    <t xml:space="preserve">Overview</t>
  </si>
  <si>
    <t xml:space="preserve">Count</t>
  </si>
  <si>
    <t xml:space="preserve">% of sources</t>
  </si>
  <si>
    <t xml:space="preserve">Total sources</t>
  </si>
  <si>
    <t xml:space="preserve">Sources with ≥50% women (where reported)</t>
  </si>
  <si>
    <t xml:space="preserve">Women-only samples or reviews</t>
  </si>
  <si>
    <t xml:space="preserve">Sources where % women is not reported in the abstract (NR)</t>
  </si>
  <si>
    <t xml:space="preserve">Average % women (studies that report it)</t>
  </si>
  <si>
    <t xml:space="preserve">By publication year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</si>
  <si>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</si>
  <si>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</si>
  <si>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</si>
  <si>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</si>
  <si>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</si>
  <si>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</si>
  <si>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Check: total</t>
  </si>
  <si>
    <t xml:space="preserve">By design type</t>
  </si>
  <si>
    <t xml:space="preserve">Variables covered</t>
  </si>
  <si>
    <t xml:space="preserve">Combinations (where the gaps are)</t>
  </si>
  <si>
    <t xml:space="preserve">Burnout + sleep</t>
  </si>
  <si>
    <t xml:space="preserve">Burnout + HRV/RHR</t>
  </si>
  <si>
    <t xml:space="preserve">Burnout + sleep + HRV/RHR</t>
  </si>
  <si>
    <t xml:space="preserve">Burnout + sleep + HRV/RHR + consumer wearable</t>
  </si>
  <si>
    <t xml:space="preserve">…and reports results for women / by sex</t>
  </si>
  <si>
    <t xml:space="preserve">Burnout + consumer wearable + students</t>
  </si>
  <si>
    <t xml:space="preserve">To see which studies these are, filter the Coverage columns (T–Y) to “Y” on the Literature Matrix sheet.</t>
  </si>
  <si>
    <t xml:space="preserve">Devices used (counts each source once)</t>
  </si>
  <si>
    <t xml:space="preserve">Oura</t>
  </si>
  <si>
    <t xml:space="preserve">WHOOP</t>
  </si>
  <si>
    <t xml:space="preserve">Garmin</t>
  </si>
  <si>
    <t xml:space="preserve">Polar</t>
  </si>
  <si>
    <t xml:space="preserve">Huawei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</si>
</sst>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7A1F1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274E13"/>
      </patternFill>
    </fill>
    <fill>
      <patternFill patternType="solid">
        <fgColor rgb="FF2E5C8A"/>
        <bgColor rgb="FF5B4B8A"/>
      </patternFill>
    </fill>
    <fill>
      <patternFill patternType="solid">
        <fgColor rgb="FF3B7A57"/>
        <bgColor rgb="FF2E5C8A"/>
      </patternFill>
    </fill>
    <fill>
      <patternFill patternType="solid">
        <fgColor rgb="FF7A4B2E"/>
        <bgColor rgb="FF555555"/>
      </patternFill>
    </fill>
    <fill>
      <patternFill patternType="solid">
        <fgColor rgb="FF5B4B8A"/>
        <bgColor rgb="FF555555"/>
      </patternFill>
    </fill>
    <fill>
      <patternFill patternType="solid">
        <fgColor rgb="FF555555"/>
        <bgColor rgb="FF5B4B8A"/>
      </patternFill>
    </fill>
    <fill>
      <patternFill patternType="solid">
        <fgColor rgb="FFF3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5C8A"/>
          <bgColor rgb="FF000000"/>
        </patternFill>
      </fill>
    </dxf>
    <dxf>
      <fill>
        <patternFill patternType="solid">
          <fgColor rgb="FF3B7A57"/>
          <bgColor rgb="FF000000"/>
        </patternFill>
      </fill>
    </dxf>
    <dxf>
      <fill>
        <patternFill patternType="solid">
          <fgColor rgb="FF7A4B2E"/>
          <bgColor rgb="FF000000"/>
        </patternFill>
      </fill>
    </dxf>
    <dxf>
      <fill>
        <patternFill patternType="solid">
          <fgColor rgb="FF5B4B8A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274E13"/>
      </font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A4B2E"/>
      <rgbColor rgb="FFF3F6FA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4B8A"/>
      <rgbColor rgb="FF969696"/>
      <rgbColor rgb="FF1F3A5F"/>
      <rgbColor rgb="FF3B7A57"/>
      <rgbColor rgb="FF003300"/>
      <rgbColor rgb="FF274E13"/>
      <rgbColor rgb="FF7A1F1F"/>
      <rgbColor rgb="FF993366"/>
      <rgbColor rgb="FF2E5C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cd.who.int/browse/2024-01/mms/en" TargetMode="External"/><Relationship Id="rId2" Type="http://schemas.openxmlformats.org/officeDocument/2006/relationships/hyperlink" Target="https://pubmed.ncbi.nlm.nih.gov/37651959/" TargetMode="External"/><Relationship Id="rId3" Type="http://schemas.openxmlformats.org/officeDocument/2006/relationships/hyperlink" Target="https://doi.org/10.1016/j.nepr.2023.103753" TargetMode="External"/><Relationship Id="rId4" Type="http://schemas.openxmlformats.org/officeDocument/2006/relationships/hyperlink" Target="https://pubmed.ncbi.nlm.nih.gov/39120506/" TargetMode="External"/><Relationship Id="rId5" Type="http://schemas.openxmlformats.org/officeDocument/2006/relationships/hyperlink" Target="https://doi.org/10.3928/01484834-20240502-04" TargetMode="External"/><Relationship Id="rId6" Type="http://schemas.openxmlformats.org/officeDocument/2006/relationships/hyperlink" Target="https://pubmed.ncbi.nlm.nih.gov/34081678/" TargetMode="External"/><Relationship Id="rId7" Type="http://schemas.openxmlformats.org/officeDocument/2006/relationships/hyperlink" Target="https://doi.org/10.1097/mlr.0000000000001584" TargetMode="External"/><Relationship Id="rId8" Type="http://schemas.openxmlformats.org/officeDocument/2006/relationships/hyperlink" Target="https://pubmed.ncbi.nlm.nih.gov/35628091/" TargetMode="External"/><Relationship Id="rId9" Type="http://schemas.openxmlformats.org/officeDocument/2006/relationships/hyperlink" Target="https://doi.org/10.3390/healthcare10050954" TargetMode="External"/><Relationship Id="rId10" Type="http://schemas.openxmlformats.org/officeDocument/2006/relationships/hyperlink" Target="https://pubmed.ncbi.nlm.nih.gov/40624657/" TargetMode="External"/><Relationship Id="rId11" Type="http://schemas.openxmlformats.org/officeDocument/2006/relationships/hyperlink" Target="https://doi.org/10.1186/s12909-025-07617-6" TargetMode="External"/><Relationship Id="rId12" Type="http://schemas.openxmlformats.org/officeDocument/2006/relationships/hyperlink" Target="https://pubmed.ncbi.nlm.nih.gov/36634111/" TargetMode="External"/><Relationship Id="rId13" Type="http://schemas.openxmlformats.org/officeDocument/2006/relationships/hyperlink" Target="https://doi.org/10.1002/smi.3218" TargetMode="External"/><Relationship Id="rId14" Type="http://schemas.openxmlformats.org/officeDocument/2006/relationships/hyperlink" Target="https://pubmed.ncbi.nlm.nih.gov/40659822/" TargetMode="External"/><Relationship Id="rId15" Type="http://schemas.openxmlformats.org/officeDocument/2006/relationships/hyperlink" Target="https://doi.org/10.1038/s41598-025-11264-8" TargetMode="External"/><Relationship Id="rId16" Type="http://schemas.openxmlformats.org/officeDocument/2006/relationships/hyperlink" Target="https://pubmed.ncbi.nlm.nih.gov/40328567/" TargetMode="External"/><Relationship Id="rId17" Type="http://schemas.openxmlformats.org/officeDocument/2006/relationships/hyperlink" Target="https://doi.org/10.1016/j.sleh.2025.03.007" TargetMode="External"/><Relationship Id="rId18" Type="http://schemas.openxmlformats.org/officeDocument/2006/relationships/hyperlink" Target="https://pubmed.ncbi.nlm.nih.gov/33603132/" TargetMode="External"/><Relationship Id="rId19" Type="http://schemas.openxmlformats.org/officeDocument/2006/relationships/hyperlink" Target="https://doi.org/10.1038/s41746-021-00400-z" TargetMode="External"/><Relationship Id="rId20" Type="http://schemas.openxmlformats.org/officeDocument/2006/relationships/hyperlink" Target="https://pubmed.ncbi.nlm.nih.gov/42138024/" TargetMode="External"/><Relationship Id="rId21" Type="http://schemas.openxmlformats.org/officeDocument/2006/relationships/hyperlink" Target="https://doi.org/10.1080/07420528.2026.2671355" TargetMode="External"/><Relationship Id="rId22" Type="http://schemas.openxmlformats.org/officeDocument/2006/relationships/hyperlink" Target="https://pubmed.ncbi.nlm.nih.gov/41591133/" TargetMode="External"/><Relationship Id="rId23" Type="http://schemas.openxmlformats.org/officeDocument/2006/relationships/hyperlink" Target="https://doi.org/10.3390/nursrep16010036" TargetMode="External"/><Relationship Id="rId24" Type="http://schemas.openxmlformats.org/officeDocument/2006/relationships/hyperlink" Target="https://pubmed.ncbi.nlm.nih.gov/41157926/" TargetMode="External"/><Relationship Id="rId25" Type="http://schemas.openxmlformats.org/officeDocument/2006/relationships/hyperlink" Target="https://doi.org/10.1093/occmed/kqaf101" TargetMode="External"/><Relationship Id="rId26" Type="http://schemas.openxmlformats.org/officeDocument/2006/relationships/hyperlink" Target="https://pubmed.ncbi.nlm.nih.gov/42528350/" TargetMode="External"/><Relationship Id="rId27" Type="http://schemas.openxmlformats.org/officeDocument/2006/relationships/hyperlink" Target="https://doi.org/10.9758/cpn.25.1377" TargetMode="External"/><Relationship Id="rId28" Type="http://schemas.openxmlformats.org/officeDocument/2006/relationships/hyperlink" Target="https://pubmed.ncbi.nlm.nih.gov/42000525/" TargetMode="External"/><Relationship Id="rId29" Type="http://schemas.openxmlformats.org/officeDocument/2006/relationships/hyperlink" Target="https://doi.org/10.1016/j.jpsychores.2026.112674" TargetMode="External"/><Relationship Id="rId30" Type="http://schemas.openxmlformats.org/officeDocument/2006/relationships/hyperlink" Target="https://pubmed.ncbi.nlm.nih.gov/42614159/" TargetMode="External"/><Relationship Id="rId31" Type="http://schemas.openxmlformats.org/officeDocument/2006/relationships/hyperlink" Target="https://doi.org/10.3389/fphys.2026.1908141" TargetMode="External"/><Relationship Id="rId32" Type="http://schemas.openxmlformats.org/officeDocument/2006/relationships/hyperlink" Target="https://pubmed.ncbi.nlm.nih.gov/38075429/" TargetMode="External"/><Relationship Id="rId33" Type="http://schemas.openxmlformats.org/officeDocument/2006/relationships/hyperlink" Target="https://doi.org/10.1016/j.mayocpiqo.2023.09.005" TargetMode="External"/><Relationship Id="rId34" Type="http://schemas.openxmlformats.org/officeDocument/2006/relationships/hyperlink" Target="https://pubmed.ncbi.nlm.nih.gov/36575415/" TargetMode="External"/><Relationship Id="rId35" Type="http://schemas.openxmlformats.org/officeDocument/2006/relationships/hyperlink" Target="https://doi.org/10.1186/s12889-022-14838-7" TargetMode="External"/><Relationship Id="rId36" Type="http://schemas.openxmlformats.org/officeDocument/2006/relationships/hyperlink" Target="https://pubmed.ncbi.nlm.nih.gov/42305752/" TargetMode="External"/><Relationship Id="rId37" Type="http://schemas.openxmlformats.org/officeDocument/2006/relationships/hyperlink" Target="https://doi.org/10.3389/fpubh.2026.1833198" TargetMode="External"/><Relationship Id="rId38" Type="http://schemas.openxmlformats.org/officeDocument/2006/relationships/hyperlink" Target="https://pubmed.ncbi.nlm.nih.gov/36768099/" TargetMode="External"/><Relationship Id="rId39" Type="http://schemas.openxmlformats.org/officeDocument/2006/relationships/hyperlink" Target="https://doi.org/10.3390/ijerph20032734" TargetMode="External"/><Relationship Id="rId40" Type="http://schemas.openxmlformats.org/officeDocument/2006/relationships/hyperlink" Target="https://pubmed.ncbi.nlm.nih.gov/38714782/" TargetMode="External"/><Relationship Id="rId41" Type="http://schemas.openxmlformats.org/officeDocument/2006/relationships/hyperlink" Target="https://doi.org/10.1038/s41598-024-61310-0" TargetMode="External"/><Relationship Id="rId42" Type="http://schemas.openxmlformats.org/officeDocument/2006/relationships/hyperlink" Target="https://pubmed.ncbi.nlm.nih.gov/42410881/" TargetMode="External"/><Relationship Id="rId43" Type="http://schemas.openxmlformats.org/officeDocument/2006/relationships/hyperlink" Target="https://doi.org/10.14814/phy2.71012" TargetMode="External"/><Relationship Id="rId44" Type="http://schemas.openxmlformats.org/officeDocument/2006/relationships/hyperlink" Target="https://pubmed.ncbi.nlm.nih.gov/41911361/" TargetMode="External"/><Relationship Id="rId45" Type="http://schemas.openxmlformats.org/officeDocument/2006/relationships/hyperlink" Target="https://doi.org/10.2196/64144" TargetMode="External"/><Relationship Id="rId46" Type="http://schemas.openxmlformats.org/officeDocument/2006/relationships/hyperlink" Target="https://pubmed.ncbi.nlm.nih.gov/41876550/" TargetMode="External"/><Relationship Id="rId47" Type="http://schemas.openxmlformats.org/officeDocument/2006/relationships/hyperlink" Target="https://doi.org/10.1038/s41597-026-07085-7" TargetMode="External"/><Relationship Id="rId48" Type="http://schemas.openxmlformats.org/officeDocument/2006/relationships/hyperlink" Target="https://pubmed.ncbi.nlm.nih.gov/40145929/" TargetMode="External"/><Relationship Id="rId49" Type="http://schemas.openxmlformats.org/officeDocument/2006/relationships/hyperlink" Target="https://doi.org/10.5811/westjem.29331" TargetMode="External"/><Relationship Id="rId50" Type="http://schemas.openxmlformats.org/officeDocument/2006/relationships/hyperlink" Target="https://pubmed.ncbi.nlm.nih.gov/39439753/" TargetMode="External"/><Relationship Id="rId51" Type="http://schemas.openxmlformats.org/officeDocument/2006/relationships/hyperlink" Target="https://doi.org/10.3389/fpsyg.2024.1422709" TargetMode="External"/><Relationship Id="rId52" Type="http://schemas.openxmlformats.org/officeDocument/2006/relationships/hyperlink" Target="https://pubmed.ncbi.nlm.nih.gov/41545627/" TargetMode="External"/><Relationship Id="rId53" Type="http://schemas.openxmlformats.org/officeDocument/2006/relationships/hyperlink" Target="https://doi.org/10.1007/s40279-025-02388-y" TargetMode="External"/><Relationship Id="rId54" Type="http://schemas.openxmlformats.org/officeDocument/2006/relationships/hyperlink" Target="https://pubmed.ncbi.nlm.nih.gov/35422659/" TargetMode="External"/><Relationship Id="rId55" Type="http://schemas.openxmlformats.org/officeDocument/2006/relationships/hyperlink" Target="https://doi.org/10.2147/ijwh.s341917" TargetMode="External"/><Relationship Id="rId56" Type="http://schemas.openxmlformats.org/officeDocument/2006/relationships/hyperlink" Target="https://pubmed.ncbi.nlm.nih.gov/41065723/" TargetMode="External"/><Relationship Id="rId57" Type="http://schemas.openxmlformats.org/officeDocument/2006/relationships/hyperlink" Target="https://doi.org/10.1093/sleep/zsaf318" TargetMode="External"/><Relationship Id="rId58" Type="http://schemas.openxmlformats.org/officeDocument/2006/relationships/hyperlink" Target="https://pubmed.ncbi.nlm.nih.gov/42811329/" TargetMode="External"/><Relationship Id="rId59" Type="http://schemas.openxmlformats.org/officeDocument/2006/relationships/hyperlink" Target="https://doi.org/10.1186/s12916-026-05276-y" TargetMode="External"/><Relationship Id="rId60" Type="http://schemas.openxmlformats.org/officeDocument/2006/relationships/hyperlink" Target="https://pubmed.ncbi.nlm.nih.gov/39788069/" TargetMode="External"/><Relationship Id="rId61" Type="http://schemas.openxmlformats.org/officeDocument/2006/relationships/hyperlink" Target="https://doi.org/10.1016/j.amjsurg.2024.116175" TargetMode="External"/><Relationship Id="rId62" Type="http://schemas.openxmlformats.org/officeDocument/2006/relationships/hyperlink" Target="https://pubmed.ncbi.nlm.nih.gov/40370681/" TargetMode="External"/><Relationship Id="rId63" Type="http://schemas.openxmlformats.org/officeDocument/2006/relationships/hyperlink" Target="https://doi.org/10.1080/21642850.2025.2503376" TargetMode="External"/><Relationship Id="rId64" Type="http://schemas.openxmlformats.org/officeDocument/2006/relationships/hyperlink" Target="https://pubmed.ncbi.nlm.nih.gov/41292097/" TargetMode="External"/><Relationship Id="rId65" Type="http://schemas.openxmlformats.org/officeDocument/2006/relationships/hyperlink" Target="https://doi.org/10.1002/smi.70125" TargetMode="External"/><Relationship Id="rId66" Type="http://schemas.openxmlformats.org/officeDocument/2006/relationships/hyperlink" Target="https://pubmed.ncbi.nlm.nih.gov/38386373/" TargetMode="External"/><Relationship Id="rId67" Type="http://schemas.openxmlformats.org/officeDocument/2006/relationships/hyperlink" Target="https://doi.org/10.2196/51569" TargetMode="External"/><Relationship Id="rId68" Type="http://schemas.openxmlformats.org/officeDocument/2006/relationships/hyperlink" Target="https://pubmed.ncbi.nlm.nih.gov/38347557/" TargetMode="External"/><Relationship Id="rId69" Type="http://schemas.openxmlformats.org/officeDocument/2006/relationships/hyperlink" Target="https://doi.org/10.1186/s12912-024-01711-8" TargetMode="External"/><Relationship Id="rId70" Type="http://schemas.openxmlformats.org/officeDocument/2006/relationships/hyperlink" Target="https://pubmed.ncbi.nlm.nih.gov/37143859/" TargetMode="External"/><Relationship Id="rId71" Type="http://schemas.openxmlformats.org/officeDocument/2006/relationships/hyperlink" Target="https://doi.org/10.1093/jamiaopen/ooad029" TargetMode="External"/><Relationship Id="rId72" Type="http://schemas.openxmlformats.org/officeDocument/2006/relationships/hyperlink" Target="https://pubmed.ncbi.nlm.nih.gov/37243855/" TargetMode="External"/><Relationship Id="rId73" Type="http://schemas.openxmlformats.org/officeDocument/2006/relationships/hyperlink" Target="https://doi.org/10.1007/s11325-023-02839-8" TargetMode="External"/><Relationship Id="rId74" Type="http://schemas.openxmlformats.org/officeDocument/2006/relationships/hyperlink" Target="https://pubmed.ncbi.nlm.nih.gov/36016077/" TargetMode="External"/><Relationship Id="rId75" Type="http://schemas.openxmlformats.org/officeDocument/2006/relationships/hyperlink" Target="https://doi.org/10.3390/s22166317" TargetMode="External"/><Relationship Id="rId76" Type="http://schemas.openxmlformats.org/officeDocument/2006/relationships/hyperlink" Target="https://pubmed.ncbi.nlm.nih.gov/33378539/" TargetMode="External"/><Relationship Id="rId77" Type="http://schemas.openxmlformats.org/officeDocument/2006/relationships/hyperlink" Target="https://doi.org/10.1093/sleep/zsaa291" TargetMode="External"/><Relationship Id="rId78" Type="http://schemas.openxmlformats.org/officeDocument/2006/relationships/hyperlink" Target="https://pubmed.ncbi.nlm.nih.gov/40834291/" TargetMode="External"/><Relationship Id="rId79" Type="http://schemas.openxmlformats.org/officeDocument/2006/relationships/hyperlink" Target="https://doi.org/10.14814/phy2.70527" TargetMode="External"/><Relationship Id="rId80" Type="http://schemas.openxmlformats.org/officeDocument/2006/relationships/hyperlink" Target="https://pubmed.ncbi.nlm.nih.gov/33529156/" TargetMode="External"/><Relationship Id="rId81" Type="http://schemas.openxmlformats.org/officeDocument/2006/relationships/hyperlink" Target="https://doi.org/10.2196/26107" TargetMode="External"/><Relationship Id="rId8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30" hidden="false" customHeight="true" outlineLevel="0" collapsed="false">
      <c r="A5" s="5" t="s">
        <v>3</v>
      </c>
      <c r="B5" s="6" t="s">
        <v>4</v>
      </c>
    </row>
    <row r="6" customFormat="false" ht="16.5" hidden="false" customHeight="true" outlineLevel="0" collapsed="false">
      <c r="A6" s="5" t="s">
        <v>5</v>
      </c>
      <c r="B6" s="6" t="s">
        <v>6</v>
      </c>
    </row>
    <row r="7" customFormat="false" ht="30" hidden="false" customHeight="true" outlineLevel="0" collapsed="false">
      <c r="A7" s="5" t="s">
        <v>7</v>
      </c>
      <c r="B7" s="6" t="s">
        <v>8</v>
      </c>
    </row>
    <row r="8" customFormat="false" ht="30" hidden="false" customHeight="tru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3" t="s">
        <v>11</v>
      </c>
      <c r="B9" s="4"/>
    </row>
    <row r="10" customFormat="false" ht="16.5" hidden="false" customHeight="true" outlineLevel="0" collapsed="false">
      <c r="A10" s="5" t="s">
        <v>12</v>
      </c>
      <c r="B10" s="6" t="s">
        <v>13</v>
      </c>
    </row>
    <row r="11" customFormat="false" ht="16.5" hidden="false" customHeight="true" outlineLevel="0" collapsed="false">
      <c r="A11" s="5" t="s">
        <v>14</v>
      </c>
      <c r="B11" s="6" t="s">
        <v>15</v>
      </c>
    </row>
    <row r="12" customFormat="false" ht="16.5" hidden="false" customHeight="true" outlineLevel="0" collapsed="false">
      <c r="A12" s="5" t="s">
        <v>16</v>
      </c>
      <c r="B12" s="6" t="s">
        <v>17</v>
      </c>
    </row>
    <row r="13" customFormat="false" ht="16.5" hidden="false" customHeight="true" outlineLevel="0" collapsed="false">
      <c r="A13" s="5" t="s">
        <v>18</v>
      </c>
      <c r="B13" s="6" t="s">
        <v>19</v>
      </c>
    </row>
    <row r="14" customFormat="false" ht="16.5" hidden="false" customHeight="true" outlineLevel="0" collapsed="false">
      <c r="A14" s="5" t="s">
        <v>20</v>
      </c>
      <c r="B14" s="6" t="s">
        <v>21</v>
      </c>
    </row>
    <row r="15" customFormat="false" ht="16.5" hidden="false" customHeight="true" outlineLevel="0" collapsed="false">
      <c r="A15" s="5" t="s">
        <v>22</v>
      </c>
      <c r="B15" s="6" t="s">
        <v>23</v>
      </c>
    </row>
    <row r="16" customFormat="false" ht="30" hidden="false" customHeight="true" outlineLevel="0" collapsed="false">
      <c r="A16" s="5" t="s">
        <v>24</v>
      </c>
      <c r="B16" s="6" t="s">
        <v>25</v>
      </c>
    </row>
    <row r="17" customFormat="false" ht="16.5" hidden="false" customHeight="tru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3" t="s">
        <v>28</v>
      </c>
      <c r="B18" s="4"/>
    </row>
    <row r="19" customFormat="false" ht="30" hidden="false" customHeight="true" outlineLevel="0" collapsed="false">
      <c r="A19" s="5" t="s">
        <v>29</v>
      </c>
      <c r="B19" s="6" t="s">
        <v>30</v>
      </c>
    </row>
    <row r="20" customFormat="false" ht="30" hidden="false" customHeight="true" outlineLevel="0" collapsed="false">
      <c r="A20" s="5" t="s">
        <v>31</v>
      </c>
      <c r="B20" s="6" t="s">
        <v>32</v>
      </c>
    </row>
    <row r="21" customFormat="false" ht="16.5" hidden="false" customHeight="true" outlineLevel="0" collapsed="false">
      <c r="A21" s="5" t="s">
        <v>33</v>
      </c>
      <c r="B21" s="6" t="s">
        <v>34</v>
      </c>
    </row>
    <row r="22" customFormat="false" ht="16.5" hidden="false" customHeight="true" outlineLevel="0" collapsed="false">
      <c r="A22" s="5" t="s">
        <v>35</v>
      </c>
      <c r="B22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4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30"/>
    <col collapsed="false" customWidth="true" hidden="false" outlineLevel="0" max="14" min="13" style="0" width="28"/>
    <col collapsed="false" customWidth="true" hidden="false" outlineLevel="0" max="15" min="15" style="0" width="26"/>
    <col collapsed="false" customWidth="true" hidden="false" outlineLevel="0" max="16" min="16" style="0" width="58"/>
    <col collapsed="false" customWidth="true" hidden="false" outlineLevel="0" max="18" min="17" style="0" width="38"/>
    <col collapsed="false" customWidth="true" hidden="false" outlineLevel="0" max="19" min="19" style="0" width="26"/>
    <col collapsed="false" customWidth="true" hidden="false" outlineLevel="0" max="22" min="20" style="0" width="10"/>
    <col collapsed="false" customWidth="true" hidden="false" outlineLevel="0" max="24" min="23" style="0" width="11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27" min="27" style="0" width="28"/>
    <col collapsed="false" customWidth="true" hidden="false" outlineLevel="0" max="28" min="28" style="0" width="70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18" hidden="false" customHeight="true" outlineLevel="0" collapsed="false">
      <c r="A3" s="7" t="s">
        <v>39</v>
      </c>
      <c r="B3" s="7"/>
      <c r="C3" s="7"/>
      <c r="D3" s="7"/>
      <c r="E3" s="7"/>
      <c r="F3" s="8" t="s">
        <v>40</v>
      </c>
      <c r="G3" s="8"/>
      <c r="H3" s="8"/>
      <c r="I3" s="8"/>
      <c r="J3" s="8"/>
      <c r="K3" s="8"/>
      <c r="L3" s="9" t="s">
        <v>41</v>
      </c>
      <c r="M3" s="9"/>
      <c r="N3" s="9"/>
      <c r="O3" s="9"/>
      <c r="P3" s="10" t="s">
        <v>42</v>
      </c>
      <c r="Q3" s="10"/>
      <c r="R3" s="10"/>
      <c r="S3" s="10"/>
      <c r="T3" s="11" t="s">
        <v>43</v>
      </c>
      <c r="U3" s="11"/>
      <c r="V3" s="11"/>
      <c r="W3" s="11"/>
      <c r="X3" s="11"/>
      <c r="Y3" s="11"/>
      <c r="Z3" s="12" t="s">
        <v>44</v>
      </c>
      <c r="AA3" s="12"/>
      <c r="AB3" s="12"/>
    </row>
    <row r="4" customFormat="false" ht="42" hidden="false" customHeight="true" outlineLevel="0" collapsed="false">
      <c r="A4" s="13" t="s">
        <v>45</v>
      </c>
      <c r="B4" s="13" t="s">
        <v>46</v>
      </c>
      <c r="C4" s="13" t="s">
        <v>47</v>
      </c>
      <c r="D4" s="13" t="s">
        <v>48</v>
      </c>
      <c r="E4" s="13" t="s">
        <v>49</v>
      </c>
      <c r="F4" s="14" t="s">
        <v>50</v>
      </c>
      <c r="G4" s="14" t="s">
        <v>51</v>
      </c>
      <c r="H4" s="14" t="s">
        <v>52</v>
      </c>
      <c r="I4" s="14" t="s">
        <v>22</v>
      </c>
      <c r="J4" s="14" t="s">
        <v>53</v>
      </c>
      <c r="K4" s="14" t="s">
        <v>54</v>
      </c>
      <c r="L4" s="15" t="s">
        <v>55</v>
      </c>
      <c r="M4" s="15" t="s">
        <v>56</v>
      </c>
      <c r="N4" s="15" t="s">
        <v>57</v>
      </c>
      <c r="O4" s="15" t="s">
        <v>58</v>
      </c>
      <c r="P4" s="16" t="s">
        <v>59</v>
      </c>
      <c r="Q4" s="16" t="s">
        <v>60</v>
      </c>
      <c r="R4" s="16" t="s">
        <v>61</v>
      </c>
      <c r="S4" s="16" t="s">
        <v>62</v>
      </c>
      <c r="T4" s="17" t="s">
        <v>63</v>
      </c>
      <c r="U4" s="17" t="s">
        <v>64</v>
      </c>
      <c r="V4" s="17" t="s">
        <v>65</v>
      </c>
      <c r="W4" s="17" t="s">
        <v>24</v>
      </c>
      <c r="X4" s="17" t="s">
        <v>26</v>
      </c>
      <c r="Y4" s="17" t="s">
        <v>66</v>
      </c>
      <c r="Z4" s="18" t="s">
        <v>67</v>
      </c>
      <c r="AA4" s="18" t="s">
        <v>68</v>
      </c>
      <c r="AB4" s="18" t="s">
        <v>69</v>
      </c>
    </row>
    <row r="5" customFormat="false" ht="69" hidden="false" customHeight="true" outlineLevel="0" collapsed="false">
      <c r="A5" s="19" t="n">
        <v>1</v>
      </c>
      <c r="B5" s="6" t="s">
        <v>70</v>
      </c>
      <c r="C5" s="19" t="n">
        <v>2024</v>
      </c>
      <c r="D5" s="6" t="s">
        <v>71</v>
      </c>
      <c r="E5" s="6" t="s">
        <v>72</v>
      </c>
      <c r="F5" s="6" t="s">
        <v>73</v>
      </c>
      <c r="G5" s="6" t="s">
        <v>74</v>
      </c>
      <c r="H5" s="6" t="s">
        <v>20</v>
      </c>
      <c r="I5" s="19" t="s">
        <v>75</v>
      </c>
      <c r="J5" s="6" t="s">
        <v>76</v>
      </c>
      <c r="K5" s="6" t="s">
        <v>77</v>
      </c>
      <c r="L5" s="6" t="s">
        <v>78</v>
      </c>
      <c r="M5" s="6" t="s">
        <v>20</v>
      </c>
      <c r="N5" s="6" t="s">
        <v>20</v>
      </c>
      <c r="O5" s="6" t="s">
        <v>20</v>
      </c>
      <c r="P5" s="6" t="s">
        <v>79</v>
      </c>
      <c r="Q5" s="6" t="s">
        <v>80</v>
      </c>
      <c r="R5" s="6" t="s">
        <v>81</v>
      </c>
      <c r="S5" s="6" t="s">
        <v>82</v>
      </c>
      <c r="T5" s="19"/>
      <c r="U5" s="19"/>
      <c r="V5" s="19"/>
      <c r="W5" s="19"/>
      <c r="X5" s="19"/>
      <c r="Y5" s="19"/>
      <c r="Z5" s="6" t="s">
        <v>20</v>
      </c>
      <c r="AA5" s="20" t="s">
        <v>83</v>
      </c>
      <c r="AB5" s="6" t="s">
        <v>84</v>
      </c>
    </row>
    <row r="6" customFormat="false" ht="55.5" hidden="false" customHeight="true" outlineLevel="0" collapsed="false">
      <c r="A6" s="21" t="n">
        <v>2</v>
      </c>
      <c r="B6" s="22" t="s">
        <v>85</v>
      </c>
      <c r="C6" s="21" t="n">
        <v>2023</v>
      </c>
      <c r="D6" s="22" t="s">
        <v>86</v>
      </c>
      <c r="E6" s="22" t="s">
        <v>87</v>
      </c>
      <c r="F6" s="22" t="s">
        <v>88</v>
      </c>
      <c r="G6" s="22" t="s">
        <v>89</v>
      </c>
      <c r="H6" s="22" t="s">
        <v>90</v>
      </c>
      <c r="I6" s="21" t="s">
        <v>16</v>
      </c>
      <c r="J6" s="22" t="s">
        <v>91</v>
      </c>
      <c r="K6" s="22" t="s">
        <v>92</v>
      </c>
      <c r="L6" s="22" t="s">
        <v>93</v>
      </c>
      <c r="M6" s="22" t="s">
        <v>20</v>
      </c>
      <c r="N6" s="22" t="s">
        <v>20</v>
      </c>
      <c r="O6" s="22" t="s">
        <v>20</v>
      </c>
      <c r="P6" s="22" t="s">
        <v>94</v>
      </c>
      <c r="Q6" s="22" t="s">
        <v>95</v>
      </c>
      <c r="R6" s="22" t="s">
        <v>96</v>
      </c>
      <c r="S6" s="22" t="s">
        <v>97</v>
      </c>
      <c r="T6" s="21" t="s">
        <v>12</v>
      </c>
      <c r="U6" s="21"/>
      <c r="V6" s="21"/>
      <c r="W6" s="21"/>
      <c r="X6" s="21"/>
      <c r="Y6" s="21" t="s">
        <v>12</v>
      </c>
      <c r="Z6" s="23" t="n">
        <v>37651959</v>
      </c>
      <c r="AA6" s="24" t="s">
        <v>98</v>
      </c>
      <c r="AB6" s="22" t="s">
        <v>99</v>
      </c>
    </row>
    <row r="7" customFormat="false" ht="55.5" hidden="false" customHeight="true" outlineLevel="0" collapsed="false">
      <c r="A7" s="19" t="n">
        <v>3</v>
      </c>
      <c r="B7" s="6" t="s">
        <v>100</v>
      </c>
      <c r="C7" s="19" t="n">
        <v>2024</v>
      </c>
      <c r="D7" s="6" t="s">
        <v>101</v>
      </c>
      <c r="E7" s="6" t="s">
        <v>102</v>
      </c>
      <c r="F7" s="6" t="s">
        <v>103</v>
      </c>
      <c r="G7" s="6" t="s">
        <v>89</v>
      </c>
      <c r="H7" s="6" t="s">
        <v>104</v>
      </c>
      <c r="I7" s="19" t="s">
        <v>16</v>
      </c>
      <c r="J7" s="6" t="s">
        <v>91</v>
      </c>
      <c r="K7" s="6" t="s">
        <v>92</v>
      </c>
      <c r="L7" s="6" t="s">
        <v>105</v>
      </c>
      <c r="M7" s="6" t="s">
        <v>20</v>
      </c>
      <c r="N7" s="6" t="s">
        <v>20</v>
      </c>
      <c r="O7" s="6" t="s">
        <v>20</v>
      </c>
      <c r="P7" s="6" t="s">
        <v>106</v>
      </c>
      <c r="Q7" s="6" t="s">
        <v>107</v>
      </c>
      <c r="R7" s="6" t="s">
        <v>108</v>
      </c>
      <c r="S7" s="6" t="s">
        <v>97</v>
      </c>
      <c r="T7" s="19" t="s">
        <v>12</v>
      </c>
      <c r="U7" s="19"/>
      <c r="V7" s="19"/>
      <c r="W7" s="19"/>
      <c r="X7" s="19"/>
      <c r="Y7" s="19" t="s">
        <v>12</v>
      </c>
      <c r="Z7" s="25" t="n">
        <v>39120506</v>
      </c>
      <c r="AA7" s="20" t="s">
        <v>109</v>
      </c>
      <c r="AB7" s="6" t="s">
        <v>110</v>
      </c>
    </row>
    <row r="8" customFormat="false" ht="42.75" hidden="false" customHeight="true" outlineLevel="0" collapsed="false">
      <c r="A8" s="21" t="n">
        <v>4</v>
      </c>
      <c r="B8" s="22" t="s">
        <v>111</v>
      </c>
      <c r="C8" s="21" t="n">
        <v>2021</v>
      </c>
      <c r="D8" s="22" t="s">
        <v>112</v>
      </c>
      <c r="E8" s="22" t="s">
        <v>113</v>
      </c>
      <c r="F8" s="22" t="s">
        <v>114</v>
      </c>
      <c r="G8" s="22" t="s">
        <v>115</v>
      </c>
      <c r="H8" s="22" t="s">
        <v>116</v>
      </c>
      <c r="I8" s="21" t="s">
        <v>16</v>
      </c>
      <c r="J8" s="22" t="s">
        <v>117</v>
      </c>
      <c r="K8" s="22" t="s">
        <v>92</v>
      </c>
      <c r="L8" s="22" t="s">
        <v>118</v>
      </c>
      <c r="M8" s="22" t="s">
        <v>20</v>
      </c>
      <c r="N8" s="22" t="s">
        <v>20</v>
      </c>
      <c r="O8" s="22" t="s">
        <v>20</v>
      </c>
      <c r="P8" s="22" t="s">
        <v>119</v>
      </c>
      <c r="Q8" s="22" t="s">
        <v>120</v>
      </c>
      <c r="R8" s="22" t="s">
        <v>121</v>
      </c>
      <c r="S8" s="22" t="s">
        <v>122</v>
      </c>
      <c r="T8" s="21" t="s">
        <v>12</v>
      </c>
      <c r="U8" s="21"/>
      <c r="V8" s="21"/>
      <c r="W8" s="21"/>
      <c r="X8" s="21" t="s">
        <v>12</v>
      </c>
      <c r="Y8" s="21"/>
      <c r="Z8" s="23" t="n">
        <v>34081678</v>
      </c>
      <c r="AA8" s="24" t="s">
        <v>123</v>
      </c>
      <c r="AB8" s="22" t="s">
        <v>124</v>
      </c>
    </row>
    <row r="9" customFormat="false" ht="42.75" hidden="false" customHeight="true" outlineLevel="0" collapsed="false">
      <c r="A9" s="19" t="n">
        <v>5</v>
      </c>
      <c r="B9" s="6" t="s">
        <v>125</v>
      </c>
      <c r="C9" s="19" t="n">
        <v>2022</v>
      </c>
      <c r="D9" s="6" t="s">
        <v>126</v>
      </c>
      <c r="E9" s="6" t="s">
        <v>127</v>
      </c>
      <c r="F9" s="6" t="s">
        <v>88</v>
      </c>
      <c r="G9" s="6" t="s">
        <v>128</v>
      </c>
      <c r="H9" s="6" t="s">
        <v>129</v>
      </c>
      <c r="I9" s="19" t="s">
        <v>16</v>
      </c>
      <c r="J9" s="6" t="s">
        <v>91</v>
      </c>
      <c r="K9" s="6" t="s">
        <v>92</v>
      </c>
      <c r="L9" s="6" t="s">
        <v>130</v>
      </c>
      <c r="M9" s="6" t="s">
        <v>131</v>
      </c>
      <c r="N9" s="6" t="s">
        <v>20</v>
      </c>
      <c r="O9" s="6" t="s">
        <v>20</v>
      </c>
      <c r="P9" s="6" t="s">
        <v>132</v>
      </c>
      <c r="Q9" s="6" t="s">
        <v>133</v>
      </c>
      <c r="R9" s="6" t="s">
        <v>134</v>
      </c>
      <c r="S9" s="6" t="s">
        <v>135</v>
      </c>
      <c r="T9" s="19" t="s">
        <v>12</v>
      </c>
      <c r="U9" s="19" t="s">
        <v>12</v>
      </c>
      <c r="V9" s="19"/>
      <c r="W9" s="19"/>
      <c r="X9" s="19" t="s">
        <v>12</v>
      </c>
      <c r="Y9" s="19"/>
      <c r="Z9" s="25" t="n">
        <v>35628091</v>
      </c>
      <c r="AA9" s="20" t="s">
        <v>136</v>
      </c>
      <c r="AB9" s="6" t="s">
        <v>137</v>
      </c>
    </row>
    <row r="10" customFormat="false" ht="42.75" hidden="false" customHeight="true" outlineLevel="0" collapsed="false">
      <c r="A10" s="21" t="n">
        <v>6</v>
      </c>
      <c r="B10" s="22" t="s">
        <v>138</v>
      </c>
      <c r="C10" s="21" t="n">
        <v>2025</v>
      </c>
      <c r="D10" s="22" t="s">
        <v>139</v>
      </c>
      <c r="E10" s="22" t="s">
        <v>140</v>
      </c>
      <c r="F10" s="22" t="s">
        <v>141</v>
      </c>
      <c r="G10" s="22" t="s">
        <v>142</v>
      </c>
      <c r="H10" s="22" t="s">
        <v>143</v>
      </c>
      <c r="I10" s="26" t="n">
        <v>0.664</v>
      </c>
      <c r="J10" s="22" t="s">
        <v>144</v>
      </c>
      <c r="K10" s="22" t="s">
        <v>145</v>
      </c>
      <c r="L10" s="22" t="s">
        <v>146</v>
      </c>
      <c r="M10" s="22" t="s">
        <v>147</v>
      </c>
      <c r="N10" s="22" t="s">
        <v>20</v>
      </c>
      <c r="O10" s="22" t="s">
        <v>20</v>
      </c>
      <c r="P10" s="22" t="s">
        <v>148</v>
      </c>
      <c r="Q10" s="22" t="s">
        <v>149</v>
      </c>
      <c r="R10" s="22" t="s">
        <v>150</v>
      </c>
      <c r="S10" s="22" t="s">
        <v>135</v>
      </c>
      <c r="T10" s="21" t="s">
        <v>12</v>
      </c>
      <c r="U10" s="21" t="s">
        <v>12</v>
      </c>
      <c r="V10" s="21"/>
      <c r="W10" s="21"/>
      <c r="X10" s="21"/>
      <c r="Y10" s="21" t="s">
        <v>12</v>
      </c>
      <c r="Z10" s="23" t="n">
        <v>40624657</v>
      </c>
      <c r="AA10" s="24" t="s">
        <v>151</v>
      </c>
      <c r="AB10" s="22" t="s">
        <v>152</v>
      </c>
    </row>
    <row r="11" customFormat="false" ht="42.75" hidden="false" customHeight="true" outlineLevel="0" collapsed="false">
      <c r="A11" s="19" t="n">
        <v>7</v>
      </c>
      <c r="B11" s="6" t="s">
        <v>153</v>
      </c>
      <c r="C11" s="19" t="n">
        <v>2023</v>
      </c>
      <c r="D11" s="6" t="s">
        <v>154</v>
      </c>
      <c r="E11" s="6" t="s">
        <v>155</v>
      </c>
      <c r="F11" s="6" t="s">
        <v>156</v>
      </c>
      <c r="G11" s="6" t="s">
        <v>157</v>
      </c>
      <c r="H11" s="6" t="s">
        <v>158</v>
      </c>
      <c r="I11" s="19" t="s">
        <v>14</v>
      </c>
      <c r="J11" s="6" t="s">
        <v>159</v>
      </c>
      <c r="K11" s="6" t="s">
        <v>160</v>
      </c>
      <c r="L11" s="6" t="s">
        <v>161</v>
      </c>
      <c r="M11" s="6" t="s">
        <v>162</v>
      </c>
      <c r="N11" s="6" t="s">
        <v>20</v>
      </c>
      <c r="O11" s="6" t="s">
        <v>20</v>
      </c>
      <c r="P11" s="6" t="s">
        <v>163</v>
      </c>
      <c r="Q11" s="6" t="s">
        <v>164</v>
      </c>
      <c r="R11" s="6" t="s">
        <v>165</v>
      </c>
      <c r="S11" s="6" t="s">
        <v>135</v>
      </c>
      <c r="T11" s="19" t="s">
        <v>12</v>
      </c>
      <c r="U11" s="19" t="s">
        <v>12</v>
      </c>
      <c r="V11" s="19"/>
      <c r="W11" s="19"/>
      <c r="X11" s="19" t="s">
        <v>12</v>
      </c>
      <c r="Y11" s="19"/>
      <c r="Z11" s="25" t="n">
        <v>36634111</v>
      </c>
      <c r="AA11" s="20" t="s">
        <v>166</v>
      </c>
      <c r="AB11" s="6" t="s">
        <v>167</v>
      </c>
    </row>
    <row r="12" customFormat="false" ht="42.75" hidden="false" customHeight="true" outlineLevel="0" collapsed="false">
      <c r="A12" s="21" t="n">
        <v>8</v>
      </c>
      <c r="B12" s="22" t="s">
        <v>168</v>
      </c>
      <c r="C12" s="21" t="n">
        <v>2025</v>
      </c>
      <c r="D12" s="22" t="s">
        <v>169</v>
      </c>
      <c r="E12" s="22" t="s">
        <v>170</v>
      </c>
      <c r="F12" s="22" t="s">
        <v>171</v>
      </c>
      <c r="G12" s="22" t="s">
        <v>128</v>
      </c>
      <c r="H12" s="22" t="s">
        <v>172</v>
      </c>
      <c r="I12" s="21" t="s">
        <v>14</v>
      </c>
      <c r="J12" s="22" t="s">
        <v>173</v>
      </c>
      <c r="K12" s="22" t="s">
        <v>160</v>
      </c>
      <c r="L12" s="22" t="s">
        <v>174</v>
      </c>
      <c r="M12" s="22" t="s">
        <v>175</v>
      </c>
      <c r="N12" s="22" t="s">
        <v>20</v>
      </c>
      <c r="O12" s="22" t="s">
        <v>20</v>
      </c>
      <c r="P12" s="22" t="s">
        <v>176</v>
      </c>
      <c r="Q12" s="22" t="s">
        <v>177</v>
      </c>
      <c r="R12" s="22" t="s">
        <v>178</v>
      </c>
      <c r="S12" s="22" t="s">
        <v>135</v>
      </c>
      <c r="T12" s="21" t="s">
        <v>12</v>
      </c>
      <c r="U12" s="21" t="s">
        <v>12</v>
      </c>
      <c r="V12" s="21"/>
      <c r="W12" s="21"/>
      <c r="X12" s="21"/>
      <c r="Y12" s="21"/>
      <c r="Z12" s="23" t="n">
        <v>40659822</v>
      </c>
      <c r="AA12" s="24" t="s">
        <v>179</v>
      </c>
      <c r="AB12" s="22" t="s">
        <v>180</v>
      </c>
    </row>
    <row r="13" customFormat="false" ht="55.5" hidden="false" customHeight="true" outlineLevel="0" collapsed="false">
      <c r="A13" s="19" t="n">
        <v>9</v>
      </c>
      <c r="B13" s="6" t="s">
        <v>181</v>
      </c>
      <c r="C13" s="19" t="n">
        <v>2025</v>
      </c>
      <c r="D13" s="6" t="s">
        <v>182</v>
      </c>
      <c r="E13" s="6" t="s">
        <v>183</v>
      </c>
      <c r="F13" s="6" t="s">
        <v>184</v>
      </c>
      <c r="G13" s="6" t="s">
        <v>185</v>
      </c>
      <c r="H13" s="6" t="s">
        <v>186</v>
      </c>
      <c r="I13" s="19" t="s">
        <v>14</v>
      </c>
      <c r="J13" s="6" t="s">
        <v>187</v>
      </c>
      <c r="K13" s="6" t="s">
        <v>188</v>
      </c>
      <c r="L13" s="6" t="s">
        <v>189</v>
      </c>
      <c r="M13" s="6" t="s">
        <v>190</v>
      </c>
      <c r="N13" s="6" t="s">
        <v>20</v>
      </c>
      <c r="O13" s="6" t="s">
        <v>191</v>
      </c>
      <c r="P13" s="6" t="s">
        <v>192</v>
      </c>
      <c r="Q13" s="6" t="s">
        <v>193</v>
      </c>
      <c r="R13" s="6" t="s">
        <v>194</v>
      </c>
      <c r="S13" s="6" t="s">
        <v>195</v>
      </c>
      <c r="T13" s="19" t="s">
        <v>12</v>
      </c>
      <c r="U13" s="19" t="s">
        <v>12</v>
      </c>
      <c r="V13" s="19"/>
      <c r="W13" s="19"/>
      <c r="X13" s="19"/>
      <c r="Y13" s="19"/>
      <c r="Z13" s="25" t="n">
        <v>40328567</v>
      </c>
      <c r="AA13" s="20" t="s">
        <v>196</v>
      </c>
      <c r="AB13" s="6" t="s">
        <v>197</v>
      </c>
    </row>
    <row r="14" customFormat="false" ht="55.5" hidden="false" customHeight="true" outlineLevel="0" collapsed="false">
      <c r="A14" s="21" t="n">
        <v>10</v>
      </c>
      <c r="B14" s="22" t="s">
        <v>198</v>
      </c>
      <c r="C14" s="21" t="n">
        <v>2021</v>
      </c>
      <c r="D14" s="22" t="s">
        <v>199</v>
      </c>
      <c r="E14" s="22" t="s">
        <v>200</v>
      </c>
      <c r="F14" s="22" t="s">
        <v>201</v>
      </c>
      <c r="G14" s="22" t="s">
        <v>202</v>
      </c>
      <c r="H14" s="22" t="s">
        <v>203</v>
      </c>
      <c r="I14" s="21" t="s">
        <v>14</v>
      </c>
      <c r="J14" s="22" t="s">
        <v>204</v>
      </c>
      <c r="K14" s="22" t="s">
        <v>160</v>
      </c>
      <c r="L14" s="22" t="s">
        <v>205</v>
      </c>
      <c r="M14" s="22" t="s">
        <v>206</v>
      </c>
      <c r="N14" s="22" t="s">
        <v>20</v>
      </c>
      <c r="O14" s="22" t="s">
        <v>207</v>
      </c>
      <c r="P14" s="22" t="s">
        <v>208</v>
      </c>
      <c r="Q14" s="22" t="s">
        <v>209</v>
      </c>
      <c r="R14" s="22" t="s">
        <v>210</v>
      </c>
      <c r="S14" s="22" t="s">
        <v>195</v>
      </c>
      <c r="T14" s="21"/>
      <c r="U14" s="21" t="s">
        <v>12</v>
      </c>
      <c r="V14" s="21"/>
      <c r="W14" s="21" t="s">
        <v>12</v>
      </c>
      <c r="X14" s="21"/>
      <c r="Y14" s="21"/>
      <c r="Z14" s="23" t="n">
        <v>33603132</v>
      </c>
      <c r="AA14" s="24" t="s">
        <v>211</v>
      </c>
      <c r="AB14" s="22" t="s">
        <v>212</v>
      </c>
    </row>
    <row r="15" customFormat="false" ht="55.5" hidden="false" customHeight="true" outlineLevel="0" collapsed="false">
      <c r="A15" s="19" t="n">
        <v>11</v>
      </c>
      <c r="B15" s="6" t="s">
        <v>213</v>
      </c>
      <c r="C15" s="19" t="n">
        <v>2026</v>
      </c>
      <c r="D15" s="6" t="s">
        <v>214</v>
      </c>
      <c r="E15" s="6" t="s">
        <v>215</v>
      </c>
      <c r="F15" s="6" t="s">
        <v>201</v>
      </c>
      <c r="G15" s="6" t="s">
        <v>216</v>
      </c>
      <c r="H15" s="6" t="s">
        <v>217</v>
      </c>
      <c r="I15" s="19" t="s">
        <v>14</v>
      </c>
      <c r="J15" s="6" t="s">
        <v>218</v>
      </c>
      <c r="K15" s="6" t="s">
        <v>188</v>
      </c>
      <c r="L15" s="6" t="s">
        <v>219</v>
      </c>
      <c r="M15" s="6" t="s">
        <v>220</v>
      </c>
      <c r="N15" s="6" t="s">
        <v>20</v>
      </c>
      <c r="O15" s="6" t="s">
        <v>20</v>
      </c>
      <c r="P15" s="6" t="s">
        <v>221</v>
      </c>
      <c r="Q15" s="6" t="s">
        <v>222</v>
      </c>
      <c r="R15" s="6" t="s">
        <v>223</v>
      </c>
      <c r="S15" s="6" t="s">
        <v>135</v>
      </c>
      <c r="T15" s="19"/>
      <c r="U15" s="19" t="s">
        <v>12</v>
      </c>
      <c r="V15" s="19"/>
      <c r="W15" s="19"/>
      <c r="X15" s="19"/>
      <c r="Y15" s="19" t="s">
        <v>12</v>
      </c>
      <c r="Z15" s="25" t="n">
        <v>42138024</v>
      </c>
      <c r="AA15" s="20" t="s">
        <v>224</v>
      </c>
      <c r="AB15" s="6" t="s">
        <v>225</v>
      </c>
    </row>
    <row r="16" customFormat="false" ht="55.5" hidden="false" customHeight="true" outlineLevel="0" collapsed="false">
      <c r="A16" s="21" t="n">
        <v>12</v>
      </c>
      <c r="B16" s="22" t="s">
        <v>226</v>
      </c>
      <c r="C16" s="21" t="n">
        <v>2026</v>
      </c>
      <c r="D16" s="22" t="s">
        <v>227</v>
      </c>
      <c r="E16" s="22" t="s">
        <v>228</v>
      </c>
      <c r="F16" s="22" t="s">
        <v>201</v>
      </c>
      <c r="G16" s="22" t="s">
        <v>229</v>
      </c>
      <c r="H16" s="22" t="s">
        <v>230</v>
      </c>
      <c r="I16" s="21" t="s">
        <v>14</v>
      </c>
      <c r="J16" s="22" t="s">
        <v>231</v>
      </c>
      <c r="K16" s="22" t="s">
        <v>160</v>
      </c>
      <c r="L16" s="22" t="s">
        <v>232</v>
      </c>
      <c r="M16" s="22" t="s">
        <v>233</v>
      </c>
      <c r="N16" s="22" t="s">
        <v>234</v>
      </c>
      <c r="O16" s="22" t="s">
        <v>235</v>
      </c>
      <c r="P16" s="22" t="s">
        <v>236</v>
      </c>
      <c r="Q16" s="22" t="s">
        <v>237</v>
      </c>
      <c r="R16" s="22" t="s">
        <v>238</v>
      </c>
      <c r="S16" s="22" t="s">
        <v>239</v>
      </c>
      <c r="T16" s="21" t="s">
        <v>12</v>
      </c>
      <c r="U16" s="21" t="s">
        <v>12</v>
      </c>
      <c r="V16" s="21" t="s">
        <v>12</v>
      </c>
      <c r="W16" s="21" t="s">
        <v>12</v>
      </c>
      <c r="X16" s="21"/>
      <c r="Y16" s="21"/>
      <c r="Z16" s="23" t="n">
        <v>41591133</v>
      </c>
      <c r="AA16" s="24" t="s">
        <v>240</v>
      </c>
      <c r="AB16" s="22" t="s">
        <v>241</v>
      </c>
    </row>
    <row r="17" customFormat="false" ht="55.5" hidden="false" customHeight="true" outlineLevel="0" collapsed="false">
      <c r="A17" s="19" t="n">
        <v>13</v>
      </c>
      <c r="B17" s="6" t="s">
        <v>242</v>
      </c>
      <c r="C17" s="19" t="n">
        <v>2025</v>
      </c>
      <c r="D17" s="6" t="s">
        <v>243</v>
      </c>
      <c r="E17" s="6" t="s">
        <v>244</v>
      </c>
      <c r="F17" s="6" t="s">
        <v>245</v>
      </c>
      <c r="G17" s="6" t="s">
        <v>246</v>
      </c>
      <c r="H17" s="6" t="s">
        <v>247</v>
      </c>
      <c r="I17" s="19" t="s">
        <v>16</v>
      </c>
      <c r="J17" s="6" t="s">
        <v>91</v>
      </c>
      <c r="K17" s="6" t="s">
        <v>92</v>
      </c>
      <c r="L17" s="6" t="s">
        <v>248</v>
      </c>
      <c r="M17" s="6" t="s">
        <v>20</v>
      </c>
      <c r="N17" s="6" t="s">
        <v>249</v>
      </c>
      <c r="O17" s="6" t="s">
        <v>250</v>
      </c>
      <c r="P17" s="6" t="s">
        <v>251</v>
      </c>
      <c r="Q17" s="6" t="s">
        <v>252</v>
      </c>
      <c r="R17" s="6" t="s">
        <v>253</v>
      </c>
      <c r="S17" s="6" t="s">
        <v>254</v>
      </c>
      <c r="T17" s="19"/>
      <c r="U17" s="19"/>
      <c r="V17" s="19" t="s">
        <v>12</v>
      </c>
      <c r="W17" s="19"/>
      <c r="X17" s="19"/>
      <c r="Y17" s="19"/>
      <c r="Z17" s="25" t="n">
        <v>41157926</v>
      </c>
      <c r="AA17" s="20" t="s">
        <v>255</v>
      </c>
      <c r="AB17" s="6" t="s">
        <v>256</v>
      </c>
    </row>
    <row r="18" customFormat="false" ht="42.75" hidden="false" customHeight="true" outlineLevel="0" collapsed="false">
      <c r="A18" s="21" t="n">
        <v>14</v>
      </c>
      <c r="B18" s="22" t="s">
        <v>257</v>
      </c>
      <c r="C18" s="21" t="n">
        <v>2026</v>
      </c>
      <c r="D18" s="22" t="s">
        <v>258</v>
      </c>
      <c r="E18" s="22" t="s">
        <v>259</v>
      </c>
      <c r="F18" s="22" t="s">
        <v>260</v>
      </c>
      <c r="G18" s="22" t="s">
        <v>261</v>
      </c>
      <c r="H18" s="22" t="s">
        <v>262</v>
      </c>
      <c r="I18" s="21" t="s">
        <v>14</v>
      </c>
      <c r="J18" s="22" t="s">
        <v>263</v>
      </c>
      <c r="K18" s="22" t="s">
        <v>145</v>
      </c>
      <c r="L18" s="22" t="s">
        <v>264</v>
      </c>
      <c r="M18" s="22" t="s">
        <v>20</v>
      </c>
      <c r="N18" s="22" t="s">
        <v>265</v>
      </c>
      <c r="O18" s="22" t="s">
        <v>266</v>
      </c>
      <c r="P18" s="22" t="s">
        <v>267</v>
      </c>
      <c r="Q18" s="22" t="s">
        <v>268</v>
      </c>
      <c r="R18" s="22" t="s">
        <v>269</v>
      </c>
      <c r="S18" s="22" t="s">
        <v>270</v>
      </c>
      <c r="T18" s="21" t="s">
        <v>12</v>
      </c>
      <c r="U18" s="21"/>
      <c r="V18" s="21" t="s">
        <v>12</v>
      </c>
      <c r="W18" s="21" t="s">
        <v>12</v>
      </c>
      <c r="X18" s="21"/>
      <c r="Y18" s="21"/>
      <c r="Z18" s="23" t="n">
        <v>42528350</v>
      </c>
      <c r="AA18" s="24" t="s">
        <v>271</v>
      </c>
      <c r="AB18" s="22" t="s">
        <v>272</v>
      </c>
    </row>
    <row r="19" customFormat="false" ht="55.5" hidden="false" customHeight="true" outlineLevel="0" collapsed="false">
      <c r="A19" s="19" t="n">
        <v>15</v>
      </c>
      <c r="B19" s="6" t="s">
        <v>273</v>
      </c>
      <c r="C19" s="19" t="n">
        <v>2026</v>
      </c>
      <c r="D19" s="6" t="s">
        <v>274</v>
      </c>
      <c r="E19" s="6" t="s">
        <v>275</v>
      </c>
      <c r="F19" s="6" t="s">
        <v>276</v>
      </c>
      <c r="G19" s="6" t="s">
        <v>277</v>
      </c>
      <c r="H19" s="6" t="s">
        <v>278</v>
      </c>
      <c r="I19" s="27" t="n">
        <v>0.57516339869281</v>
      </c>
      <c r="J19" s="6" t="s">
        <v>279</v>
      </c>
      <c r="K19" s="6" t="s">
        <v>160</v>
      </c>
      <c r="L19" s="6" t="s">
        <v>280</v>
      </c>
      <c r="M19" s="6" t="s">
        <v>20</v>
      </c>
      <c r="N19" s="6" t="s">
        <v>281</v>
      </c>
      <c r="O19" s="6" t="s">
        <v>282</v>
      </c>
      <c r="P19" s="6" t="s">
        <v>283</v>
      </c>
      <c r="Q19" s="6" t="s">
        <v>284</v>
      </c>
      <c r="R19" s="6" t="s">
        <v>285</v>
      </c>
      <c r="S19" s="6" t="s">
        <v>286</v>
      </c>
      <c r="T19" s="19" t="s">
        <v>12</v>
      </c>
      <c r="U19" s="19"/>
      <c r="V19" s="19" t="s">
        <v>12</v>
      </c>
      <c r="W19" s="19"/>
      <c r="X19" s="19"/>
      <c r="Y19" s="19"/>
      <c r="Z19" s="25" t="n">
        <v>42000525</v>
      </c>
      <c r="AA19" s="20" t="s">
        <v>287</v>
      </c>
      <c r="AB19" s="6" t="s">
        <v>288</v>
      </c>
    </row>
    <row r="20" customFormat="false" ht="42.75" hidden="false" customHeight="true" outlineLevel="0" collapsed="false">
      <c r="A20" s="21" t="n">
        <v>16</v>
      </c>
      <c r="B20" s="22" t="s">
        <v>289</v>
      </c>
      <c r="C20" s="21" t="n">
        <v>2026</v>
      </c>
      <c r="D20" s="22" t="s">
        <v>290</v>
      </c>
      <c r="E20" s="22" t="s">
        <v>291</v>
      </c>
      <c r="F20" s="22" t="s">
        <v>292</v>
      </c>
      <c r="G20" s="22" t="s">
        <v>293</v>
      </c>
      <c r="H20" s="22" t="s">
        <v>294</v>
      </c>
      <c r="I20" s="21" t="s">
        <v>14</v>
      </c>
      <c r="J20" s="22" t="s">
        <v>145</v>
      </c>
      <c r="K20" s="22" t="s">
        <v>145</v>
      </c>
      <c r="L20" s="22" t="s">
        <v>295</v>
      </c>
      <c r="M20" s="22" t="s">
        <v>20</v>
      </c>
      <c r="N20" s="22" t="s">
        <v>296</v>
      </c>
      <c r="O20" s="22" t="s">
        <v>297</v>
      </c>
      <c r="P20" s="22" t="s">
        <v>298</v>
      </c>
      <c r="Q20" s="22" t="s">
        <v>299</v>
      </c>
      <c r="R20" s="22" t="s">
        <v>300</v>
      </c>
      <c r="S20" s="22" t="s">
        <v>286</v>
      </c>
      <c r="T20" s="21" t="s">
        <v>12</v>
      </c>
      <c r="U20" s="21"/>
      <c r="V20" s="21" t="s">
        <v>12</v>
      </c>
      <c r="W20" s="21"/>
      <c r="X20" s="21" t="s">
        <v>12</v>
      </c>
      <c r="Y20" s="21"/>
      <c r="Z20" s="23" t="n">
        <v>42614159</v>
      </c>
      <c r="AA20" s="24" t="s">
        <v>301</v>
      </c>
      <c r="AB20" s="22" t="s">
        <v>302</v>
      </c>
    </row>
    <row r="21" customFormat="false" ht="55.5" hidden="false" customHeight="true" outlineLevel="0" collapsed="false">
      <c r="A21" s="19" t="n">
        <v>17</v>
      </c>
      <c r="B21" s="6" t="s">
        <v>303</v>
      </c>
      <c r="C21" s="19" t="n">
        <v>2023</v>
      </c>
      <c r="D21" s="6" t="s">
        <v>304</v>
      </c>
      <c r="E21" s="6" t="s">
        <v>305</v>
      </c>
      <c r="F21" s="6" t="s">
        <v>306</v>
      </c>
      <c r="G21" s="6" t="s">
        <v>307</v>
      </c>
      <c r="H21" s="6" t="s">
        <v>308</v>
      </c>
      <c r="I21" s="27" t="n">
        <v>0.67</v>
      </c>
      <c r="J21" s="6" t="s">
        <v>309</v>
      </c>
      <c r="K21" s="6" t="s">
        <v>310</v>
      </c>
      <c r="L21" s="6" t="s">
        <v>311</v>
      </c>
      <c r="M21" s="6" t="s">
        <v>20</v>
      </c>
      <c r="N21" s="6" t="s">
        <v>312</v>
      </c>
      <c r="O21" s="6" t="s">
        <v>313</v>
      </c>
      <c r="P21" s="6" t="s">
        <v>314</v>
      </c>
      <c r="Q21" s="6" t="s">
        <v>315</v>
      </c>
      <c r="R21" s="6" t="s">
        <v>316</v>
      </c>
      <c r="S21" s="6" t="s">
        <v>317</v>
      </c>
      <c r="T21" s="19" t="s">
        <v>12</v>
      </c>
      <c r="U21" s="19"/>
      <c r="V21" s="19" t="s">
        <v>12</v>
      </c>
      <c r="W21" s="19" t="s">
        <v>12</v>
      </c>
      <c r="X21" s="19"/>
      <c r="Y21" s="19"/>
      <c r="Z21" s="25" t="n">
        <v>38075429</v>
      </c>
      <c r="AA21" s="20" t="s">
        <v>318</v>
      </c>
      <c r="AB21" s="6" t="s">
        <v>319</v>
      </c>
    </row>
    <row r="22" customFormat="false" ht="55.5" hidden="false" customHeight="true" outlineLevel="0" collapsed="false">
      <c r="A22" s="21" t="n">
        <v>18</v>
      </c>
      <c r="B22" s="22" t="s">
        <v>320</v>
      </c>
      <c r="C22" s="21" t="n">
        <v>2022</v>
      </c>
      <c r="D22" s="22" t="s">
        <v>321</v>
      </c>
      <c r="E22" s="22" t="s">
        <v>322</v>
      </c>
      <c r="F22" s="22" t="s">
        <v>323</v>
      </c>
      <c r="G22" s="22" t="s">
        <v>324</v>
      </c>
      <c r="H22" s="22" t="s">
        <v>325</v>
      </c>
      <c r="I22" s="21" t="s">
        <v>14</v>
      </c>
      <c r="J22" s="22" t="s">
        <v>326</v>
      </c>
      <c r="K22" s="22" t="s">
        <v>310</v>
      </c>
      <c r="L22" s="22" t="s">
        <v>327</v>
      </c>
      <c r="M22" s="22" t="s">
        <v>328</v>
      </c>
      <c r="N22" s="22" t="s">
        <v>329</v>
      </c>
      <c r="O22" s="22" t="s">
        <v>297</v>
      </c>
      <c r="P22" s="22" t="s">
        <v>330</v>
      </c>
      <c r="Q22" s="22" t="s">
        <v>331</v>
      </c>
      <c r="R22" s="22" t="s">
        <v>332</v>
      </c>
      <c r="S22" s="22" t="s">
        <v>333</v>
      </c>
      <c r="T22" s="21"/>
      <c r="U22" s="21" t="s">
        <v>12</v>
      </c>
      <c r="V22" s="21" t="s">
        <v>12</v>
      </c>
      <c r="W22" s="21"/>
      <c r="X22" s="21"/>
      <c r="Y22" s="21"/>
      <c r="Z22" s="23" t="n">
        <v>36575415</v>
      </c>
      <c r="AA22" s="24" t="s">
        <v>334</v>
      </c>
      <c r="AB22" s="22" t="s">
        <v>335</v>
      </c>
    </row>
    <row r="23" customFormat="false" ht="55.5" hidden="false" customHeight="true" outlineLevel="0" collapsed="false">
      <c r="A23" s="19" t="n">
        <v>19</v>
      </c>
      <c r="B23" s="6" t="s">
        <v>336</v>
      </c>
      <c r="C23" s="19" t="n">
        <v>2026</v>
      </c>
      <c r="D23" s="6" t="s">
        <v>337</v>
      </c>
      <c r="E23" s="6" t="s">
        <v>338</v>
      </c>
      <c r="F23" s="6" t="s">
        <v>339</v>
      </c>
      <c r="G23" s="6" t="s">
        <v>340</v>
      </c>
      <c r="H23" s="6" t="s">
        <v>341</v>
      </c>
      <c r="I23" s="27" t="n">
        <v>0.481481481481482</v>
      </c>
      <c r="J23" s="6" t="s">
        <v>342</v>
      </c>
      <c r="K23" s="6" t="s">
        <v>160</v>
      </c>
      <c r="L23" s="6" t="s">
        <v>343</v>
      </c>
      <c r="M23" s="6" t="s">
        <v>344</v>
      </c>
      <c r="N23" s="6" t="s">
        <v>20</v>
      </c>
      <c r="O23" s="6" t="s">
        <v>345</v>
      </c>
      <c r="P23" s="6" t="s">
        <v>346</v>
      </c>
      <c r="Q23" s="6" t="s">
        <v>347</v>
      </c>
      <c r="R23" s="6" t="s">
        <v>348</v>
      </c>
      <c r="S23" s="6" t="s">
        <v>349</v>
      </c>
      <c r="T23" s="19"/>
      <c r="U23" s="19" t="s">
        <v>12</v>
      </c>
      <c r="V23" s="19"/>
      <c r="W23" s="19" t="s">
        <v>12</v>
      </c>
      <c r="X23" s="19" t="s">
        <v>12</v>
      </c>
      <c r="Y23" s="19" t="s">
        <v>12</v>
      </c>
      <c r="Z23" s="25" t="n">
        <v>42305752</v>
      </c>
      <c r="AA23" s="20" t="s">
        <v>350</v>
      </c>
      <c r="AB23" s="6" t="s">
        <v>351</v>
      </c>
    </row>
    <row r="24" customFormat="false" ht="42.75" hidden="false" customHeight="true" outlineLevel="0" collapsed="false">
      <c r="A24" s="21" t="n">
        <v>20</v>
      </c>
      <c r="B24" s="22" t="s">
        <v>352</v>
      </c>
      <c r="C24" s="21" t="n">
        <v>2023</v>
      </c>
      <c r="D24" s="22" t="s">
        <v>353</v>
      </c>
      <c r="E24" s="22" t="s">
        <v>354</v>
      </c>
      <c r="F24" s="22" t="s">
        <v>355</v>
      </c>
      <c r="G24" s="22" t="s">
        <v>356</v>
      </c>
      <c r="H24" s="22" t="s">
        <v>357</v>
      </c>
      <c r="I24" s="21" t="s">
        <v>14</v>
      </c>
      <c r="J24" s="22" t="s">
        <v>358</v>
      </c>
      <c r="K24" s="22" t="s">
        <v>359</v>
      </c>
      <c r="L24" s="22" t="s">
        <v>360</v>
      </c>
      <c r="M24" s="22" t="s">
        <v>20</v>
      </c>
      <c r="N24" s="22" t="s">
        <v>20</v>
      </c>
      <c r="O24" s="22" t="s">
        <v>20</v>
      </c>
      <c r="P24" s="22" t="s">
        <v>361</v>
      </c>
      <c r="Q24" s="22" t="s">
        <v>362</v>
      </c>
      <c r="R24" s="22" t="s">
        <v>363</v>
      </c>
      <c r="S24" s="22" t="s">
        <v>349</v>
      </c>
      <c r="T24" s="21"/>
      <c r="U24" s="21"/>
      <c r="V24" s="21"/>
      <c r="W24" s="21"/>
      <c r="X24" s="21"/>
      <c r="Y24" s="21"/>
      <c r="Z24" s="23" t="n">
        <v>36768099</v>
      </c>
      <c r="AA24" s="24" t="s">
        <v>364</v>
      </c>
      <c r="AB24" s="22" t="s">
        <v>365</v>
      </c>
    </row>
    <row r="25" customFormat="false" ht="69" hidden="false" customHeight="true" outlineLevel="0" collapsed="false">
      <c r="A25" s="19" t="n">
        <v>21</v>
      </c>
      <c r="B25" s="6" t="s">
        <v>366</v>
      </c>
      <c r="C25" s="19" t="n">
        <v>2024</v>
      </c>
      <c r="D25" s="6" t="s">
        <v>367</v>
      </c>
      <c r="E25" s="6" t="s">
        <v>170</v>
      </c>
      <c r="F25" s="6" t="s">
        <v>368</v>
      </c>
      <c r="G25" s="6" t="s">
        <v>369</v>
      </c>
      <c r="H25" s="6" t="s">
        <v>370</v>
      </c>
      <c r="I25" s="19" t="s">
        <v>14</v>
      </c>
      <c r="J25" s="6" t="s">
        <v>371</v>
      </c>
      <c r="K25" s="6" t="s">
        <v>359</v>
      </c>
      <c r="L25" s="6" t="s">
        <v>372</v>
      </c>
      <c r="M25" s="6" t="s">
        <v>20</v>
      </c>
      <c r="N25" s="6" t="s">
        <v>20</v>
      </c>
      <c r="O25" s="6" t="s">
        <v>20</v>
      </c>
      <c r="P25" s="6" t="s">
        <v>373</v>
      </c>
      <c r="Q25" s="6" t="s">
        <v>374</v>
      </c>
      <c r="R25" s="6" t="s">
        <v>375</v>
      </c>
      <c r="S25" s="6" t="s">
        <v>376</v>
      </c>
      <c r="T25" s="19" t="s">
        <v>12</v>
      </c>
      <c r="U25" s="19"/>
      <c r="V25" s="19"/>
      <c r="W25" s="19"/>
      <c r="X25" s="19"/>
      <c r="Y25" s="19" t="s">
        <v>12</v>
      </c>
      <c r="Z25" s="25" t="n">
        <v>38714782</v>
      </c>
      <c r="AA25" s="20" t="s">
        <v>377</v>
      </c>
      <c r="AB25" s="6" t="s">
        <v>378</v>
      </c>
    </row>
    <row r="26" customFormat="false" ht="55.5" hidden="false" customHeight="true" outlineLevel="0" collapsed="false">
      <c r="A26" s="21" t="n">
        <v>22</v>
      </c>
      <c r="B26" s="22" t="s">
        <v>379</v>
      </c>
      <c r="C26" s="21" t="n">
        <v>2026</v>
      </c>
      <c r="D26" s="22" t="s">
        <v>380</v>
      </c>
      <c r="E26" s="22" t="s">
        <v>381</v>
      </c>
      <c r="F26" s="22" t="s">
        <v>382</v>
      </c>
      <c r="G26" s="22" t="s">
        <v>383</v>
      </c>
      <c r="H26" s="22" t="s">
        <v>384</v>
      </c>
      <c r="I26" s="26" t="n">
        <v>0.814</v>
      </c>
      <c r="J26" s="22" t="s">
        <v>145</v>
      </c>
      <c r="K26" s="22" t="s">
        <v>145</v>
      </c>
      <c r="L26" s="22" t="s">
        <v>385</v>
      </c>
      <c r="M26" s="22" t="s">
        <v>386</v>
      </c>
      <c r="N26" s="22" t="s">
        <v>387</v>
      </c>
      <c r="O26" s="22" t="s">
        <v>388</v>
      </c>
      <c r="P26" s="22" t="s">
        <v>389</v>
      </c>
      <c r="Q26" s="22" t="s">
        <v>390</v>
      </c>
      <c r="R26" s="22" t="s">
        <v>391</v>
      </c>
      <c r="S26" s="22" t="s">
        <v>66</v>
      </c>
      <c r="T26" s="21"/>
      <c r="U26" s="21" t="s">
        <v>12</v>
      </c>
      <c r="V26" s="21" t="s">
        <v>12</v>
      </c>
      <c r="W26" s="21"/>
      <c r="X26" s="21" t="s">
        <v>12</v>
      </c>
      <c r="Y26" s="21" t="s">
        <v>12</v>
      </c>
      <c r="Z26" s="23" t="n">
        <v>42410881</v>
      </c>
      <c r="AA26" s="24" t="s">
        <v>392</v>
      </c>
      <c r="AB26" s="22" t="s">
        <v>393</v>
      </c>
    </row>
    <row r="27" customFormat="false" ht="55.5" hidden="false" customHeight="true" outlineLevel="0" collapsed="false">
      <c r="A27" s="19" t="n">
        <v>23</v>
      </c>
      <c r="B27" s="6" t="s">
        <v>394</v>
      </c>
      <c r="C27" s="19" t="n">
        <v>2026</v>
      </c>
      <c r="D27" s="6" t="s">
        <v>395</v>
      </c>
      <c r="E27" s="6" t="s">
        <v>396</v>
      </c>
      <c r="F27" s="6" t="s">
        <v>88</v>
      </c>
      <c r="G27" s="6" t="s">
        <v>397</v>
      </c>
      <c r="H27" s="6" t="s">
        <v>398</v>
      </c>
      <c r="I27" s="19" t="s">
        <v>16</v>
      </c>
      <c r="J27" s="6" t="s">
        <v>399</v>
      </c>
      <c r="K27" s="6" t="s">
        <v>92</v>
      </c>
      <c r="L27" s="6" t="s">
        <v>400</v>
      </c>
      <c r="M27" s="6" t="s">
        <v>20</v>
      </c>
      <c r="N27" s="6" t="s">
        <v>401</v>
      </c>
      <c r="O27" s="6" t="s">
        <v>402</v>
      </c>
      <c r="P27" s="6" t="s">
        <v>403</v>
      </c>
      <c r="Q27" s="6" t="s">
        <v>404</v>
      </c>
      <c r="R27" s="6" t="s">
        <v>405</v>
      </c>
      <c r="S27" s="6" t="s">
        <v>66</v>
      </c>
      <c r="T27" s="19"/>
      <c r="U27" s="19"/>
      <c r="V27" s="19"/>
      <c r="W27" s="19" t="s">
        <v>12</v>
      </c>
      <c r="X27" s="19"/>
      <c r="Y27" s="19" t="s">
        <v>12</v>
      </c>
      <c r="Z27" s="25" t="n">
        <v>41911361</v>
      </c>
      <c r="AA27" s="20" t="s">
        <v>406</v>
      </c>
      <c r="AB27" s="6" t="s">
        <v>407</v>
      </c>
    </row>
    <row r="28" customFormat="false" ht="42.75" hidden="false" customHeight="true" outlineLevel="0" collapsed="false">
      <c r="A28" s="21" t="n">
        <v>24</v>
      </c>
      <c r="B28" s="22" t="s">
        <v>408</v>
      </c>
      <c r="C28" s="21" t="n">
        <v>2026</v>
      </c>
      <c r="D28" s="22" t="s">
        <v>409</v>
      </c>
      <c r="E28" s="22" t="s">
        <v>410</v>
      </c>
      <c r="F28" s="22" t="s">
        <v>411</v>
      </c>
      <c r="G28" s="22" t="s">
        <v>412</v>
      </c>
      <c r="H28" s="22" t="s">
        <v>413</v>
      </c>
      <c r="I28" s="26" t="n">
        <v>0.315</v>
      </c>
      <c r="J28" s="22" t="s">
        <v>414</v>
      </c>
      <c r="K28" s="22" t="s">
        <v>77</v>
      </c>
      <c r="L28" s="22" t="s">
        <v>415</v>
      </c>
      <c r="M28" s="22" t="s">
        <v>416</v>
      </c>
      <c r="N28" s="22" t="s">
        <v>417</v>
      </c>
      <c r="O28" s="22" t="s">
        <v>418</v>
      </c>
      <c r="P28" s="22" t="s">
        <v>419</v>
      </c>
      <c r="Q28" s="22" t="s">
        <v>420</v>
      </c>
      <c r="R28" s="22" t="s">
        <v>421</v>
      </c>
      <c r="S28" s="22" t="s">
        <v>422</v>
      </c>
      <c r="T28" s="21"/>
      <c r="U28" s="21" t="s">
        <v>12</v>
      </c>
      <c r="V28" s="21" t="s">
        <v>12</v>
      </c>
      <c r="W28" s="21" t="s">
        <v>12</v>
      </c>
      <c r="X28" s="21"/>
      <c r="Y28" s="21" t="s">
        <v>12</v>
      </c>
      <c r="Z28" s="23" t="n">
        <v>41876550</v>
      </c>
      <c r="AA28" s="24" t="s">
        <v>423</v>
      </c>
      <c r="AB28" s="22" t="s">
        <v>424</v>
      </c>
    </row>
    <row r="29" customFormat="false" ht="55.5" hidden="false" customHeight="true" outlineLevel="0" collapsed="false">
      <c r="A29" s="19" t="n">
        <v>25</v>
      </c>
      <c r="B29" s="6" t="s">
        <v>425</v>
      </c>
      <c r="C29" s="19" t="n">
        <v>2025</v>
      </c>
      <c r="D29" s="6" t="s">
        <v>426</v>
      </c>
      <c r="E29" s="6" t="s">
        <v>427</v>
      </c>
      <c r="F29" s="6" t="s">
        <v>428</v>
      </c>
      <c r="G29" s="6" t="s">
        <v>429</v>
      </c>
      <c r="H29" s="6" t="s">
        <v>430</v>
      </c>
      <c r="I29" s="19" t="s">
        <v>16</v>
      </c>
      <c r="J29" s="6" t="s">
        <v>117</v>
      </c>
      <c r="K29" s="6" t="s">
        <v>92</v>
      </c>
      <c r="L29" s="6" t="s">
        <v>431</v>
      </c>
      <c r="M29" s="6" t="s">
        <v>20</v>
      </c>
      <c r="N29" s="6" t="s">
        <v>20</v>
      </c>
      <c r="O29" s="6" t="s">
        <v>20</v>
      </c>
      <c r="P29" s="6" t="s">
        <v>432</v>
      </c>
      <c r="Q29" s="6" t="s">
        <v>433</v>
      </c>
      <c r="R29" s="6" t="s">
        <v>434</v>
      </c>
      <c r="S29" s="6" t="s">
        <v>435</v>
      </c>
      <c r="T29" s="19" t="s">
        <v>12</v>
      </c>
      <c r="U29" s="19"/>
      <c r="V29" s="19"/>
      <c r="W29" s="19"/>
      <c r="X29" s="19" t="s">
        <v>12</v>
      </c>
      <c r="Y29" s="19"/>
      <c r="Z29" s="25" t="n">
        <v>40145929</v>
      </c>
      <c r="AA29" s="20" t="s">
        <v>436</v>
      </c>
      <c r="AB29" s="6" t="s">
        <v>437</v>
      </c>
    </row>
    <row r="30" customFormat="false" ht="55.5" hidden="false" customHeight="true" outlineLevel="0" collapsed="false">
      <c r="A30" s="21" t="n">
        <v>26</v>
      </c>
      <c r="B30" s="22" t="s">
        <v>438</v>
      </c>
      <c r="C30" s="21" t="n">
        <v>2024</v>
      </c>
      <c r="D30" s="22" t="s">
        <v>439</v>
      </c>
      <c r="E30" s="22" t="s">
        <v>440</v>
      </c>
      <c r="F30" s="22" t="s">
        <v>441</v>
      </c>
      <c r="G30" s="22" t="s">
        <v>442</v>
      </c>
      <c r="H30" s="22" t="s">
        <v>443</v>
      </c>
      <c r="I30" s="26" t="n">
        <v>0.719148936170213</v>
      </c>
      <c r="J30" s="22" t="s">
        <v>145</v>
      </c>
      <c r="K30" s="22" t="s">
        <v>145</v>
      </c>
      <c r="L30" s="22" t="s">
        <v>444</v>
      </c>
      <c r="M30" s="22" t="s">
        <v>20</v>
      </c>
      <c r="N30" s="22" t="s">
        <v>445</v>
      </c>
      <c r="O30" s="22" t="s">
        <v>446</v>
      </c>
      <c r="P30" s="22" t="s">
        <v>447</v>
      </c>
      <c r="Q30" s="22" t="s">
        <v>448</v>
      </c>
      <c r="R30" s="22" t="s">
        <v>449</v>
      </c>
      <c r="S30" s="22" t="s">
        <v>435</v>
      </c>
      <c r="T30" s="21" t="s">
        <v>12</v>
      </c>
      <c r="U30" s="21"/>
      <c r="V30" s="21" t="s">
        <v>12</v>
      </c>
      <c r="W30" s="21" t="s">
        <v>12</v>
      </c>
      <c r="X30" s="21" t="s">
        <v>12</v>
      </c>
      <c r="Y30" s="21"/>
      <c r="Z30" s="23" t="n">
        <v>39439753</v>
      </c>
      <c r="AA30" s="24" t="s">
        <v>450</v>
      </c>
      <c r="AB30" s="22" t="s">
        <v>451</v>
      </c>
    </row>
    <row r="31" customFormat="false" ht="55.5" hidden="false" customHeight="true" outlineLevel="0" collapsed="false">
      <c r="A31" s="19" t="n">
        <v>27</v>
      </c>
      <c r="B31" s="6" t="s">
        <v>452</v>
      </c>
      <c r="C31" s="19" t="n">
        <v>2026</v>
      </c>
      <c r="D31" s="6" t="s">
        <v>453</v>
      </c>
      <c r="E31" s="6" t="s">
        <v>454</v>
      </c>
      <c r="F31" s="6" t="s">
        <v>455</v>
      </c>
      <c r="G31" s="6" t="s">
        <v>456</v>
      </c>
      <c r="H31" s="6" t="s">
        <v>457</v>
      </c>
      <c r="I31" s="27" t="n">
        <v>1</v>
      </c>
      <c r="J31" s="6" t="s">
        <v>458</v>
      </c>
      <c r="K31" s="6" t="s">
        <v>92</v>
      </c>
      <c r="L31" s="6" t="s">
        <v>20</v>
      </c>
      <c r="M31" s="6" t="s">
        <v>20</v>
      </c>
      <c r="N31" s="6" t="s">
        <v>459</v>
      </c>
      <c r="O31" s="6" t="s">
        <v>460</v>
      </c>
      <c r="P31" s="6" t="s">
        <v>461</v>
      </c>
      <c r="Q31" s="6" t="s">
        <v>462</v>
      </c>
      <c r="R31" s="6" t="s">
        <v>463</v>
      </c>
      <c r="S31" s="6" t="s">
        <v>464</v>
      </c>
      <c r="T31" s="19"/>
      <c r="U31" s="19"/>
      <c r="V31" s="19" t="s">
        <v>12</v>
      </c>
      <c r="W31" s="19" t="s">
        <v>12</v>
      </c>
      <c r="X31" s="19" t="s">
        <v>12</v>
      </c>
      <c r="Y31" s="19"/>
      <c r="Z31" s="25" t="n">
        <v>41545627</v>
      </c>
      <c r="AA31" s="20" t="s">
        <v>465</v>
      </c>
      <c r="AB31" s="6" t="s">
        <v>466</v>
      </c>
    </row>
    <row r="32" customFormat="false" ht="42.75" hidden="false" customHeight="true" outlineLevel="0" collapsed="false">
      <c r="A32" s="21" t="n">
        <v>28</v>
      </c>
      <c r="B32" s="22" t="s">
        <v>467</v>
      </c>
      <c r="C32" s="21" t="n">
        <v>2022</v>
      </c>
      <c r="D32" s="22" t="s">
        <v>468</v>
      </c>
      <c r="E32" s="22" t="s">
        <v>469</v>
      </c>
      <c r="F32" s="22" t="s">
        <v>470</v>
      </c>
      <c r="G32" s="22" t="s">
        <v>471</v>
      </c>
      <c r="H32" s="22" t="s">
        <v>472</v>
      </c>
      <c r="I32" s="26" t="n">
        <v>1</v>
      </c>
      <c r="J32" s="22" t="s">
        <v>473</v>
      </c>
      <c r="K32" s="22" t="s">
        <v>160</v>
      </c>
      <c r="L32" s="22" t="s">
        <v>474</v>
      </c>
      <c r="M32" s="22" t="s">
        <v>475</v>
      </c>
      <c r="N32" s="22" t="s">
        <v>476</v>
      </c>
      <c r="O32" s="22" t="s">
        <v>235</v>
      </c>
      <c r="P32" s="22" t="s">
        <v>477</v>
      </c>
      <c r="Q32" s="22" t="s">
        <v>478</v>
      </c>
      <c r="R32" s="22" t="s">
        <v>479</v>
      </c>
      <c r="S32" s="22" t="s">
        <v>435</v>
      </c>
      <c r="T32" s="21"/>
      <c r="U32" s="21" t="s">
        <v>12</v>
      </c>
      <c r="V32" s="21" t="s">
        <v>12</v>
      </c>
      <c r="W32" s="21" t="s">
        <v>12</v>
      </c>
      <c r="X32" s="21" t="s">
        <v>12</v>
      </c>
      <c r="Y32" s="21"/>
      <c r="Z32" s="23" t="n">
        <v>35422659</v>
      </c>
      <c r="AA32" s="24" t="s">
        <v>480</v>
      </c>
      <c r="AB32" s="22" t="s">
        <v>481</v>
      </c>
    </row>
    <row r="33" customFormat="false" ht="42.75" hidden="false" customHeight="true" outlineLevel="0" collapsed="false">
      <c r="A33" s="19" t="n">
        <v>29</v>
      </c>
      <c r="B33" s="6" t="s">
        <v>482</v>
      </c>
      <c r="C33" s="19" t="n">
        <v>2026</v>
      </c>
      <c r="D33" s="6" t="s">
        <v>483</v>
      </c>
      <c r="E33" s="6" t="s">
        <v>484</v>
      </c>
      <c r="F33" s="6" t="s">
        <v>485</v>
      </c>
      <c r="G33" s="6" t="s">
        <v>486</v>
      </c>
      <c r="H33" s="6" t="s">
        <v>487</v>
      </c>
      <c r="I33" s="19" t="s">
        <v>14</v>
      </c>
      <c r="J33" s="6" t="s">
        <v>488</v>
      </c>
      <c r="K33" s="6" t="s">
        <v>310</v>
      </c>
      <c r="L33" s="6" t="s">
        <v>20</v>
      </c>
      <c r="M33" s="6" t="s">
        <v>489</v>
      </c>
      <c r="N33" s="6" t="s">
        <v>490</v>
      </c>
      <c r="O33" s="6" t="s">
        <v>491</v>
      </c>
      <c r="P33" s="6" t="s">
        <v>492</v>
      </c>
      <c r="Q33" s="6" t="s">
        <v>493</v>
      </c>
      <c r="R33" s="6" t="s">
        <v>494</v>
      </c>
      <c r="S33" s="6" t="s">
        <v>495</v>
      </c>
      <c r="T33" s="19"/>
      <c r="U33" s="19" t="s">
        <v>12</v>
      </c>
      <c r="V33" s="19" t="s">
        <v>12</v>
      </c>
      <c r="W33" s="19" t="s">
        <v>12</v>
      </c>
      <c r="X33" s="19"/>
      <c r="Y33" s="19"/>
      <c r="Z33" s="25" t="n">
        <v>41065723</v>
      </c>
      <c r="AA33" s="20" t="s">
        <v>496</v>
      </c>
      <c r="AB33" s="6" t="s">
        <v>497</v>
      </c>
    </row>
    <row r="34" customFormat="false" ht="55.5" hidden="false" customHeight="true" outlineLevel="0" collapsed="false">
      <c r="A34" s="21" t="n">
        <v>30</v>
      </c>
      <c r="B34" s="22" t="s">
        <v>498</v>
      </c>
      <c r="C34" s="21" t="n">
        <v>2026</v>
      </c>
      <c r="D34" s="22" t="s">
        <v>499</v>
      </c>
      <c r="E34" s="22" t="s">
        <v>500</v>
      </c>
      <c r="F34" s="22" t="s">
        <v>501</v>
      </c>
      <c r="G34" s="22" t="s">
        <v>502</v>
      </c>
      <c r="H34" s="22" t="s">
        <v>503</v>
      </c>
      <c r="I34" s="21" t="s">
        <v>14</v>
      </c>
      <c r="J34" s="22" t="s">
        <v>504</v>
      </c>
      <c r="K34" s="22" t="s">
        <v>145</v>
      </c>
      <c r="L34" s="22" t="s">
        <v>505</v>
      </c>
      <c r="M34" s="22" t="s">
        <v>506</v>
      </c>
      <c r="N34" s="22" t="s">
        <v>507</v>
      </c>
      <c r="O34" s="22" t="s">
        <v>508</v>
      </c>
      <c r="P34" s="22" t="s">
        <v>509</v>
      </c>
      <c r="Q34" s="22" t="s">
        <v>510</v>
      </c>
      <c r="R34" s="22" t="s">
        <v>511</v>
      </c>
      <c r="S34" s="22" t="s">
        <v>495</v>
      </c>
      <c r="T34" s="21"/>
      <c r="U34" s="21" t="s">
        <v>12</v>
      </c>
      <c r="V34" s="21" t="s">
        <v>12</v>
      </c>
      <c r="W34" s="21" t="s">
        <v>12</v>
      </c>
      <c r="X34" s="21"/>
      <c r="Y34" s="21"/>
      <c r="Z34" s="23" t="n">
        <v>42811329</v>
      </c>
      <c r="AA34" s="24" t="s">
        <v>512</v>
      </c>
      <c r="AB34" s="22" t="s">
        <v>513</v>
      </c>
    </row>
    <row r="35" customFormat="false" ht="55.5" hidden="false" customHeight="true" outlineLevel="0" collapsed="false">
      <c r="A35" s="19" t="n">
        <v>31</v>
      </c>
      <c r="B35" s="6" t="s">
        <v>514</v>
      </c>
      <c r="C35" s="19" t="n">
        <v>2025</v>
      </c>
      <c r="D35" s="6" t="s">
        <v>515</v>
      </c>
      <c r="E35" s="6" t="s">
        <v>516</v>
      </c>
      <c r="F35" s="6" t="s">
        <v>201</v>
      </c>
      <c r="G35" s="6" t="s">
        <v>517</v>
      </c>
      <c r="H35" s="6" t="s">
        <v>518</v>
      </c>
      <c r="I35" s="19" t="s">
        <v>14</v>
      </c>
      <c r="J35" s="6" t="s">
        <v>519</v>
      </c>
      <c r="K35" s="6" t="s">
        <v>160</v>
      </c>
      <c r="L35" s="6" t="s">
        <v>520</v>
      </c>
      <c r="M35" s="6" t="s">
        <v>20</v>
      </c>
      <c r="N35" s="6" t="s">
        <v>521</v>
      </c>
      <c r="O35" s="6" t="s">
        <v>522</v>
      </c>
      <c r="P35" s="6" t="s">
        <v>523</v>
      </c>
      <c r="Q35" s="6" t="s">
        <v>524</v>
      </c>
      <c r="R35" s="6" t="s">
        <v>525</v>
      </c>
      <c r="S35" s="6" t="s">
        <v>526</v>
      </c>
      <c r="T35" s="19"/>
      <c r="U35" s="19"/>
      <c r="V35" s="19" t="s">
        <v>12</v>
      </c>
      <c r="W35" s="19" t="s">
        <v>12</v>
      </c>
      <c r="X35" s="19" t="s">
        <v>12</v>
      </c>
      <c r="Y35" s="19"/>
      <c r="Z35" s="25" t="n">
        <v>39788069</v>
      </c>
      <c r="AA35" s="20" t="s">
        <v>527</v>
      </c>
      <c r="AB35" s="6" t="s">
        <v>528</v>
      </c>
    </row>
    <row r="36" customFormat="false" ht="55.5" hidden="false" customHeight="true" outlineLevel="0" collapsed="false">
      <c r="A36" s="21" t="n">
        <v>32</v>
      </c>
      <c r="B36" s="22" t="s">
        <v>529</v>
      </c>
      <c r="C36" s="21" t="n">
        <v>2025</v>
      </c>
      <c r="D36" s="22" t="s">
        <v>530</v>
      </c>
      <c r="E36" s="22" t="s">
        <v>531</v>
      </c>
      <c r="F36" s="22" t="s">
        <v>201</v>
      </c>
      <c r="G36" s="22" t="s">
        <v>128</v>
      </c>
      <c r="H36" s="22" t="s">
        <v>532</v>
      </c>
      <c r="I36" s="26" t="n">
        <v>0.84</v>
      </c>
      <c r="J36" s="22" t="s">
        <v>533</v>
      </c>
      <c r="K36" s="22" t="s">
        <v>310</v>
      </c>
      <c r="L36" s="22" t="s">
        <v>534</v>
      </c>
      <c r="M36" s="22" t="s">
        <v>535</v>
      </c>
      <c r="N36" s="22" t="s">
        <v>536</v>
      </c>
      <c r="O36" s="22" t="s">
        <v>235</v>
      </c>
      <c r="P36" s="22" t="s">
        <v>537</v>
      </c>
      <c r="Q36" s="22" t="s">
        <v>538</v>
      </c>
      <c r="R36" s="22" t="s">
        <v>539</v>
      </c>
      <c r="S36" s="22" t="s">
        <v>495</v>
      </c>
      <c r="T36" s="21" t="s">
        <v>12</v>
      </c>
      <c r="U36" s="21" t="s">
        <v>12</v>
      </c>
      <c r="V36" s="21" t="s">
        <v>12</v>
      </c>
      <c r="W36" s="21" t="s">
        <v>12</v>
      </c>
      <c r="X36" s="21"/>
      <c r="Y36" s="21"/>
      <c r="Z36" s="23" t="n">
        <v>40370681</v>
      </c>
      <c r="AA36" s="24" t="s">
        <v>540</v>
      </c>
      <c r="AB36" s="22" t="s">
        <v>541</v>
      </c>
    </row>
    <row r="37" customFormat="false" ht="55.5" hidden="false" customHeight="true" outlineLevel="0" collapsed="false">
      <c r="A37" s="19" t="n">
        <v>33</v>
      </c>
      <c r="B37" s="6" t="s">
        <v>542</v>
      </c>
      <c r="C37" s="19" t="n">
        <v>2025</v>
      </c>
      <c r="D37" s="6" t="s">
        <v>543</v>
      </c>
      <c r="E37" s="6" t="s">
        <v>155</v>
      </c>
      <c r="F37" s="6" t="s">
        <v>544</v>
      </c>
      <c r="G37" s="6" t="s">
        <v>545</v>
      </c>
      <c r="H37" s="6" t="s">
        <v>546</v>
      </c>
      <c r="I37" s="19" t="s">
        <v>14</v>
      </c>
      <c r="J37" s="6" t="s">
        <v>547</v>
      </c>
      <c r="K37" s="6" t="s">
        <v>548</v>
      </c>
      <c r="L37" s="6" t="s">
        <v>549</v>
      </c>
      <c r="M37" s="6" t="s">
        <v>20</v>
      </c>
      <c r="N37" s="6" t="s">
        <v>550</v>
      </c>
      <c r="O37" s="6" t="s">
        <v>551</v>
      </c>
      <c r="P37" s="6" t="s">
        <v>552</v>
      </c>
      <c r="Q37" s="6" t="s">
        <v>553</v>
      </c>
      <c r="R37" s="6" t="s">
        <v>554</v>
      </c>
      <c r="S37" s="6" t="s">
        <v>495</v>
      </c>
      <c r="T37" s="19"/>
      <c r="U37" s="19"/>
      <c r="V37" s="19" t="s">
        <v>12</v>
      </c>
      <c r="W37" s="19" t="s">
        <v>12</v>
      </c>
      <c r="X37" s="19" t="s">
        <v>12</v>
      </c>
      <c r="Y37" s="19"/>
      <c r="Z37" s="25" t="n">
        <v>41292097</v>
      </c>
      <c r="AA37" s="20" t="s">
        <v>555</v>
      </c>
      <c r="AB37" s="6" t="s">
        <v>556</v>
      </c>
    </row>
    <row r="38" customFormat="false" ht="55.5" hidden="false" customHeight="true" outlineLevel="0" collapsed="false">
      <c r="A38" s="21" t="n">
        <v>34</v>
      </c>
      <c r="B38" s="22" t="s">
        <v>557</v>
      </c>
      <c r="C38" s="21" t="n">
        <v>2024</v>
      </c>
      <c r="D38" s="22" t="s">
        <v>558</v>
      </c>
      <c r="E38" s="22" t="s">
        <v>559</v>
      </c>
      <c r="F38" s="22" t="s">
        <v>201</v>
      </c>
      <c r="G38" s="22" t="s">
        <v>560</v>
      </c>
      <c r="H38" s="22" t="s">
        <v>561</v>
      </c>
      <c r="I38" s="21" t="s">
        <v>14</v>
      </c>
      <c r="J38" s="22" t="s">
        <v>562</v>
      </c>
      <c r="K38" s="22" t="s">
        <v>160</v>
      </c>
      <c r="L38" s="22" t="s">
        <v>563</v>
      </c>
      <c r="M38" s="22" t="s">
        <v>564</v>
      </c>
      <c r="N38" s="22" t="s">
        <v>565</v>
      </c>
      <c r="O38" s="22" t="s">
        <v>566</v>
      </c>
      <c r="P38" s="22" t="s">
        <v>567</v>
      </c>
      <c r="Q38" s="22" t="s">
        <v>568</v>
      </c>
      <c r="R38" s="22" t="s">
        <v>569</v>
      </c>
      <c r="S38" s="22" t="s">
        <v>495</v>
      </c>
      <c r="T38" s="21" t="s">
        <v>12</v>
      </c>
      <c r="U38" s="21" t="s">
        <v>12</v>
      </c>
      <c r="V38" s="21" t="s">
        <v>12</v>
      </c>
      <c r="W38" s="21" t="s">
        <v>12</v>
      </c>
      <c r="X38" s="21"/>
      <c r="Y38" s="21"/>
      <c r="Z38" s="23" t="n">
        <v>38386373</v>
      </c>
      <c r="AA38" s="24" t="s">
        <v>570</v>
      </c>
      <c r="AB38" s="22" t="s">
        <v>571</v>
      </c>
    </row>
    <row r="39" customFormat="false" ht="55.5" hidden="false" customHeight="true" outlineLevel="0" collapsed="false">
      <c r="A39" s="19" t="n">
        <v>35</v>
      </c>
      <c r="B39" s="6" t="s">
        <v>572</v>
      </c>
      <c r="C39" s="19" t="n">
        <v>2024</v>
      </c>
      <c r="D39" s="6" t="s">
        <v>573</v>
      </c>
      <c r="E39" s="6" t="s">
        <v>574</v>
      </c>
      <c r="F39" s="6" t="s">
        <v>201</v>
      </c>
      <c r="G39" s="6" t="s">
        <v>575</v>
      </c>
      <c r="H39" s="6" t="s">
        <v>576</v>
      </c>
      <c r="I39" s="19" t="s">
        <v>14</v>
      </c>
      <c r="J39" s="6" t="s">
        <v>577</v>
      </c>
      <c r="K39" s="6" t="s">
        <v>77</v>
      </c>
      <c r="L39" s="6" t="s">
        <v>578</v>
      </c>
      <c r="M39" s="6" t="s">
        <v>579</v>
      </c>
      <c r="N39" s="6" t="s">
        <v>580</v>
      </c>
      <c r="O39" s="6" t="s">
        <v>581</v>
      </c>
      <c r="P39" s="6" t="s">
        <v>582</v>
      </c>
      <c r="Q39" s="6" t="s">
        <v>583</v>
      </c>
      <c r="R39" s="6" t="s">
        <v>584</v>
      </c>
      <c r="S39" s="6" t="s">
        <v>495</v>
      </c>
      <c r="T39" s="19" t="s">
        <v>12</v>
      </c>
      <c r="U39" s="19" t="s">
        <v>12</v>
      </c>
      <c r="V39" s="19" t="s">
        <v>12</v>
      </c>
      <c r="W39" s="19" t="s">
        <v>12</v>
      </c>
      <c r="X39" s="19"/>
      <c r="Y39" s="19"/>
      <c r="Z39" s="25" t="n">
        <v>38347557</v>
      </c>
      <c r="AA39" s="20" t="s">
        <v>585</v>
      </c>
      <c r="AB39" s="6" t="s">
        <v>586</v>
      </c>
    </row>
    <row r="40" customFormat="false" ht="42.75" hidden="false" customHeight="true" outlineLevel="0" collapsed="false">
      <c r="A40" s="21" t="n">
        <v>36</v>
      </c>
      <c r="B40" s="22" t="s">
        <v>587</v>
      </c>
      <c r="C40" s="21" t="n">
        <v>2023</v>
      </c>
      <c r="D40" s="22" t="s">
        <v>588</v>
      </c>
      <c r="E40" s="22" t="s">
        <v>589</v>
      </c>
      <c r="F40" s="22" t="s">
        <v>590</v>
      </c>
      <c r="G40" s="22" t="s">
        <v>591</v>
      </c>
      <c r="H40" s="22" t="s">
        <v>592</v>
      </c>
      <c r="I40" s="26" t="n">
        <v>0.629</v>
      </c>
      <c r="J40" s="22" t="s">
        <v>593</v>
      </c>
      <c r="K40" s="22" t="s">
        <v>160</v>
      </c>
      <c r="L40" s="22" t="s">
        <v>594</v>
      </c>
      <c r="M40" s="22" t="s">
        <v>20</v>
      </c>
      <c r="N40" s="22" t="s">
        <v>595</v>
      </c>
      <c r="O40" s="22" t="s">
        <v>596</v>
      </c>
      <c r="P40" s="22" t="s">
        <v>597</v>
      </c>
      <c r="Q40" s="22" t="s">
        <v>598</v>
      </c>
      <c r="R40" s="22" t="s">
        <v>599</v>
      </c>
      <c r="S40" s="22" t="s">
        <v>495</v>
      </c>
      <c r="T40" s="21"/>
      <c r="U40" s="21"/>
      <c r="V40" s="21" t="s">
        <v>12</v>
      </c>
      <c r="W40" s="21" t="s">
        <v>12</v>
      </c>
      <c r="X40" s="21"/>
      <c r="Y40" s="21"/>
      <c r="Z40" s="23" t="n">
        <v>37143859</v>
      </c>
      <c r="AA40" s="24" t="s">
        <v>600</v>
      </c>
      <c r="AB40" s="22" t="s">
        <v>601</v>
      </c>
    </row>
    <row r="41" customFormat="false" ht="42.75" hidden="false" customHeight="true" outlineLevel="0" collapsed="false">
      <c r="A41" s="19" t="n">
        <v>37</v>
      </c>
      <c r="B41" s="6" t="s">
        <v>602</v>
      </c>
      <c r="C41" s="19" t="n">
        <v>2023</v>
      </c>
      <c r="D41" s="6" t="s">
        <v>603</v>
      </c>
      <c r="E41" s="6" t="s">
        <v>604</v>
      </c>
      <c r="F41" s="6" t="s">
        <v>201</v>
      </c>
      <c r="G41" s="6" t="s">
        <v>605</v>
      </c>
      <c r="H41" s="6" t="s">
        <v>606</v>
      </c>
      <c r="I41" s="27" t="n">
        <v>0.525</v>
      </c>
      <c r="J41" s="6" t="s">
        <v>607</v>
      </c>
      <c r="K41" s="6" t="s">
        <v>160</v>
      </c>
      <c r="L41" s="6" t="s">
        <v>608</v>
      </c>
      <c r="M41" s="6" t="s">
        <v>609</v>
      </c>
      <c r="N41" s="6" t="s">
        <v>20</v>
      </c>
      <c r="O41" s="6" t="s">
        <v>610</v>
      </c>
      <c r="P41" s="6" t="s">
        <v>611</v>
      </c>
      <c r="Q41" s="6" t="s">
        <v>612</v>
      </c>
      <c r="R41" s="6" t="s">
        <v>613</v>
      </c>
      <c r="S41" s="6" t="s">
        <v>495</v>
      </c>
      <c r="T41" s="19" t="s">
        <v>12</v>
      </c>
      <c r="U41" s="19" t="s">
        <v>12</v>
      </c>
      <c r="V41" s="19"/>
      <c r="W41" s="19" t="s">
        <v>12</v>
      </c>
      <c r="X41" s="19"/>
      <c r="Y41" s="19"/>
      <c r="Z41" s="25" t="n">
        <v>37243855</v>
      </c>
      <c r="AA41" s="20" t="s">
        <v>614</v>
      </c>
      <c r="AB41" s="6" t="s">
        <v>615</v>
      </c>
    </row>
    <row r="42" customFormat="false" ht="55.5" hidden="false" customHeight="true" outlineLevel="0" collapsed="false">
      <c r="A42" s="21" t="n">
        <v>38</v>
      </c>
      <c r="B42" s="22" t="s">
        <v>616</v>
      </c>
      <c r="C42" s="21" t="n">
        <v>2022</v>
      </c>
      <c r="D42" s="22" t="s">
        <v>617</v>
      </c>
      <c r="E42" s="22" t="s">
        <v>618</v>
      </c>
      <c r="F42" s="22" t="s">
        <v>619</v>
      </c>
      <c r="G42" s="22" t="s">
        <v>620</v>
      </c>
      <c r="H42" s="22" t="s">
        <v>621</v>
      </c>
      <c r="I42" s="26" t="n">
        <v>0.490566037735849</v>
      </c>
      <c r="J42" s="22" t="s">
        <v>622</v>
      </c>
      <c r="K42" s="22" t="s">
        <v>548</v>
      </c>
      <c r="L42" s="22" t="s">
        <v>20</v>
      </c>
      <c r="M42" s="22" t="s">
        <v>623</v>
      </c>
      <c r="N42" s="22" t="s">
        <v>624</v>
      </c>
      <c r="O42" s="22" t="s">
        <v>625</v>
      </c>
      <c r="P42" s="22" t="s">
        <v>626</v>
      </c>
      <c r="Q42" s="22" t="s">
        <v>627</v>
      </c>
      <c r="R42" s="22" t="s">
        <v>628</v>
      </c>
      <c r="S42" s="22" t="s">
        <v>495</v>
      </c>
      <c r="T42" s="21"/>
      <c r="U42" s="21" t="s">
        <v>12</v>
      </c>
      <c r="V42" s="21" t="s">
        <v>12</v>
      </c>
      <c r="W42" s="21" t="s">
        <v>12</v>
      </c>
      <c r="X42" s="21"/>
      <c r="Y42" s="21"/>
      <c r="Z42" s="23" t="n">
        <v>36016077</v>
      </c>
      <c r="AA42" s="24" t="s">
        <v>629</v>
      </c>
      <c r="AB42" s="22" t="s">
        <v>630</v>
      </c>
    </row>
    <row r="43" customFormat="false" ht="55.5" hidden="false" customHeight="true" outlineLevel="0" collapsed="false">
      <c r="A43" s="19" t="n">
        <v>39</v>
      </c>
      <c r="B43" s="6" t="s">
        <v>631</v>
      </c>
      <c r="C43" s="19" t="n">
        <v>2021</v>
      </c>
      <c r="D43" s="6" t="s">
        <v>632</v>
      </c>
      <c r="E43" s="6" t="s">
        <v>484</v>
      </c>
      <c r="F43" s="6" t="s">
        <v>201</v>
      </c>
      <c r="G43" s="6" t="s">
        <v>633</v>
      </c>
      <c r="H43" s="6" t="s">
        <v>634</v>
      </c>
      <c r="I43" s="27" t="n">
        <v>0.647058823529412</v>
      </c>
      <c r="J43" s="6" t="s">
        <v>635</v>
      </c>
      <c r="K43" s="6" t="s">
        <v>548</v>
      </c>
      <c r="L43" s="6" t="s">
        <v>20</v>
      </c>
      <c r="M43" s="6" t="s">
        <v>636</v>
      </c>
      <c r="N43" s="6" t="s">
        <v>20</v>
      </c>
      <c r="O43" s="6" t="s">
        <v>637</v>
      </c>
      <c r="P43" s="6" t="s">
        <v>638</v>
      </c>
      <c r="Q43" s="6" t="s">
        <v>639</v>
      </c>
      <c r="R43" s="6" t="s">
        <v>640</v>
      </c>
      <c r="S43" s="6" t="s">
        <v>495</v>
      </c>
      <c r="T43" s="19"/>
      <c r="U43" s="19" t="s">
        <v>12</v>
      </c>
      <c r="V43" s="19"/>
      <c r="W43" s="19" t="s">
        <v>12</v>
      </c>
      <c r="X43" s="19"/>
      <c r="Y43" s="19"/>
      <c r="Z43" s="25" t="n">
        <v>33378539</v>
      </c>
      <c r="AA43" s="20" t="s">
        <v>641</v>
      </c>
      <c r="AB43" s="6" t="s">
        <v>642</v>
      </c>
    </row>
    <row r="44" customFormat="false" ht="42.75" hidden="false" customHeight="true" outlineLevel="0" collapsed="false">
      <c r="A44" s="21" t="n">
        <v>40</v>
      </c>
      <c r="B44" s="22" t="s">
        <v>643</v>
      </c>
      <c r="C44" s="21" t="n">
        <v>2025</v>
      </c>
      <c r="D44" s="22" t="s">
        <v>644</v>
      </c>
      <c r="E44" s="22" t="s">
        <v>381</v>
      </c>
      <c r="F44" s="22" t="s">
        <v>201</v>
      </c>
      <c r="G44" s="22" t="s">
        <v>645</v>
      </c>
      <c r="H44" s="22" t="s">
        <v>646</v>
      </c>
      <c r="I44" s="26" t="n">
        <v>0.461538461538462</v>
      </c>
      <c r="J44" s="22" t="s">
        <v>647</v>
      </c>
      <c r="K44" s="22" t="s">
        <v>548</v>
      </c>
      <c r="L44" s="22" t="s">
        <v>20</v>
      </c>
      <c r="M44" s="22" t="s">
        <v>20</v>
      </c>
      <c r="N44" s="22" t="s">
        <v>648</v>
      </c>
      <c r="O44" s="22" t="s">
        <v>649</v>
      </c>
      <c r="P44" s="22" t="s">
        <v>650</v>
      </c>
      <c r="Q44" s="22" t="s">
        <v>651</v>
      </c>
      <c r="R44" s="22" t="s">
        <v>652</v>
      </c>
      <c r="S44" s="22" t="s">
        <v>495</v>
      </c>
      <c r="T44" s="21"/>
      <c r="U44" s="21"/>
      <c r="V44" s="21" t="s">
        <v>12</v>
      </c>
      <c r="W44" s="21" t="s">
        <v>12</v>
      </c>
      <c r="X44" s="21"/>
      <c r="Y44" s="21"/>
      <c r="Z44" s="23" t="n">
        <v>40834291</v>
      </c>
      <c r="AA44" s="24" t="s">
        <v>653</v>
      </c>
      <c r="AB44" s="22" t="s">
        <v>654</v>
      </c>
    </row>
    <row r="45" customFormat="false" ht="55.5" hidden="false" customHeight="true" outlineLevel="0" collapsed="false">
      <c r="A45" s="19" t="n">
        <v>41</v>
      </c>
      <c r="B45" s="6" t="s">
        <v>587</v>
      </c>
      <c r="C45" s="19" t="n">
        <v>2021</v>
      </c>
      <c r="D45" s="6" t="s">
        <v>655</v>
      </c>
      <c r="E45" s="6" t="s">
        <v>656</v>
      </c>
      <c r="F45" s="6" t="s">
        <v>657</v>
      </c>
      <c r="G45" s="6" t="s">
        <v>658</v>
      </c>
      <c r="H45" s="6" t="s">
        <v>659</v>
      </c>
      <c r="I45" s="27" t="n">
        <v>0.686868686868687</v>
      </c>
      <c r="J45" s="6" t="s">
        <v>660</v>
      </c>
      <c r="K45" s="6" t="s">
        <v>160</v>
      </c>
      <c r="L45" s="6" t="s">
        <v>661</v>
      </c>
      <c r="M45" s="6" t="s">
        <v>20</v>
      </c>
      <c r="N45" s="6" t="s">
        <v>662</v>
      </c>
      <c r="O45" s="6" t="s">
        <v>596</v>
      </c>
      <c r="P45" s="6" t="s">
        <v>663</v>
      </c>
      <c r="Q45" s="6" t="s">
        <v>664</v>
      </c>
      <c r="R45" s="6" t="s">
        <v>665</v>
      </c>
      <c r="S45" s="6" t="s">
        <v>495</v>
      </c>
      <c r="T45" s="19"/>
      <c r="U45" s="19"/>
      <c r="V45" s="19" t="s">
        <v>12</v>
      </c>
      <c r="W45" s="19" t="s">
        <v>12</v>
      </c>
      <c r="X45" s="19"/>
      <c r="Y45" s="19"/>
      <c r="Z45" s="25" t="n">
        <v>33529156</v>
      </c>
      <c r="AA45" s="20" t="s">
        <v>666</v>
      </c>
      <c r="AB45" s="6" t="s">
        <v>667</v>
      </c>
    </row>
  </sheetData>
  <autoFilter ref="A4:AB45"/>
  <mergeCells count="6">
    <mergeCell ref="A3:E3"/>
    <mergeCell ref="F3:K3"/>
    <mergeCell ref="L3:O3"/>
    <mergeCell ref="P3:S3"/>
    <mergeCell ref="T3:Y3"/>
    <mergeCell ref="Z3:AB3"/>
  </mergeCells>
  <conditionalFormatting sqref="T5:Y45">
    <cfRule type="cellIs" priority="2" operator="equal" aboveAverage="0" equalAverage="0" bottom="0" percent="0" rank="0" text="" dxfId="12">
      <formula>"Y"</formula>
    </cfRule>
  </conditionalFormatting>
  <hyperlinks>
    <hyperlink ref="AA5" r:id="rId1" location="129180281" display="https://icd.who.int/browse/2024-01/mms/en#129180281"/>
    <hyperlink ref="Z6" r:id="rId2" display="https://pubmed.ncbi.nlm.nih.gov/37651959/"/>
    <hyperlink ref="AA6" r:id="rId3" display="10.1016/j.nepr.2023.103753"/>
    <hyperlink ref="Z7" r:id="rId4" display="https://pubmed.ncbi.nlm.nih.gov/39120506/"/>
    <hyperlink ref="AA7" r:id="rId5" display="10.3928/01484834-20240502-04"/>
    <hyperlink ref="Z8" r:id="rId6" display="https://pubmed.ncbi.nlm.nih.gov/34081678/"/>
    <hyperlink ref="AA8" r:id="rId7" display="10.1097/mlr.0000000000001584"/>
    <hyperlink ref="Z9" r:id="rId8" display="https://pubmed.ncbi.nlm.nih.gov/35628091/"/>
    <hyperlink ref="AA9" r:id="rId9" display="10.3390/healthcare10050954"/>
    <hyperlink ref="Z10" r:id="rId10" display="https://pubmed.ncbi.nlm.nih.gov/40624657/"/>
    <hyperlink ref="AA10" r:id="rId11" display="10.1186/s12909-025-07617-6"/>
    <hyperlink ref="Z11" r:id="rId12" display="https://pubmed.ncbi.nlm.nih.gov/36634111/"/>
    <hyperlink ref="AA11" r:id="rId13" display="10.1002/smi.3218"/>
    <hyperlink ref="Z12" r:id="rId14" display="https://pubmed.ncbi.nlm.nih.gov/40659822/"/>
    <hyperlink ref="AA12" r:id="rId15" display="10.1038/s41598-025-11264-8"/>
    <hyperlink ref="Z13" r:id="rId16" display="https://pubmed.ncbi.nlm.nih.gov/40328567/"/>
    <hyperlink ref="AA13" r:id="rId17" display="10.1016/j.sleh.2025.03.007"/>
    <hyperlink ref="Z14" r:id="rId18" display="https://pubmed.ncbi.nlm.nih.gov/33603132/"/>
    <hyperlink ref="AA14" r:id="rId19" display="10.1038/s41746-021-00400-z"/>
    <hyperlink ref="Z15" r:id="rId20" display="https://pubmed.ncbi.nlm.nih.gov/42138024/"/>
    <hyperlink ref="AA15" r:id="rId21" display="10.1080/07420528.2026.2671355"/>
    <hyperlink ref="Z16" r:id="rId22" display="https://pubmed.ncbi.nlm.nih.gov/41591133/"/>
    <hyperlink ref="AA16" r:id="rId23" display="10.3390/nursrep16010036"/>
    <hyperlink ref="Z17" r:id="rId24" display="https://pubmed.ncbi.nlm.nih.gov/41157926/"/>
    <hyperlink ref="AA17" r:id="rId25" display="10.1093/occmed/kqaf101"/>
    <hyperlink ref="Z18" r:id="rId26" display="https://pubmed.ncbi.nlm.nih.gov/42528350/"/>
    <hyperlink ref="AA18" r:id="rId27" display="10.9758/cpn.25.1377"/>
    <hyperlink ref="Z19" r:id="rId28" display="https://pubmed.ncbi.nlm.nih.gov/42000525/"/>
    <hyperlink ref="AA19" r:id="rId29" display="10.1016/j.jpsychores.2026.112674"/>
    <hyperlink ref="Z20" r:id="rId30" display="https://pubmed.ncbi.nlm.nih.gov/42614159/"/>
    <hyperlink ref="AA20" r:id="rId31" display="10.3389/fphys.2026.1908141"/>
    <hyperlink ref="Z21" r:id="rId32" display="https://pubmed.ncbi.nlm.nih.gov/38075429/"/>
    <hyperlink ref="AA21" r:id="rId33" display="10.1016/j.mayocpiqo.2023.09.005"/>
    <hyperlink ref="Z22" r:id="rId34" display="https://pubmed.ncbi.nlm.nih.gov/36575415/"/>
    <hyperlink ref="AA22" r:id="rId35" display="10.1186/s12889-022-14838-7"/>
    <hyperlink ref="Z23" r:id="rId36" display="https://pubmed.ncbi.nlm.nih.gov/42305752/"/>
    <hyperlink ref="AA23" r:id="rId37" display="10.3389/fpubh.2026.1833198"/>
    <hyperlink ref="Z24" r:id="rId38" display="https://pubmed.ncbi.nlm.nih.gov/36768099/"/>
    <hyperlink ref="AA24" r:id="rId39" display="10.3390/ijerph20032734"/>
    <hyperlink ref="Z25" r:id="rId40" display="https://pubmed.ncbi.nlm.nih.gov/38714782/"/>
    <hyperlink ref="AA25" r:id="rId41" display="10.1038/s41598-024-61310-0"/>
    <hyperlink ref="Z26" r:id="rId42" display="https://pubmed.ncbi.nlm.nih.gov/42410881/"/>
    <hyperlink ref="AA26" r:id="rId43" display="10.14814/phy2.71012"/>
    <hyperlink ref="Z27" r:id="rId44" display="https://pubmed.ncbi.nlm.nih.gov/41911361/"/>
    <hyperlink ref="AA27" r:id="rId45" display="10.2196/64144"/>
    <hyperlink ref="Z28" r:id="rId46" display="https://pubmed.ncbi.nlm.nih.gov/41876550/"/>
    <hyperlink ref="AA28" r:id="rId47" display="10.1038/s41597-026-07085-7"/>
    <hyperlink ref="Z29" r:id="rId48" display="https://pubmed.ncbi.nlm.nih.gov/40145929/"/>
    <hyperlink ref="AA29" r:id="rId49" display="10.5811/westjem.29331"/>
    <hyperlink ref="Z30" r:id="rId50" display="https://pubmed.ncbi.nlm.nih.gov/39439753/"/>
    <hyperlink ref="AA30" r:id="rId51" display="10.3389/fpsyg.2024.1422709"/>
    <hyperlink ref="Z31" r:id="rId52" display="https://pubmed.ncbi.nlm.nih.gov/41545627/"/>
    <hyperlink ref="AA31" r:id="rId53" display="10.1007/s40279-025-02388-y"/>
    <hyperlink ref="Z32" r:id="rId54" display="https://pubmed.ncbi.nlm.nih.gov/35422659/"/>
    <hyperlink ref="AA32" r:id="rId55" display="10.2147/ijwh.s341917"/>
    <hyperlink ref="Z33" r:id="rId56" display="https://pubmed.ncbi.nlm.nih.gov/41065723/"/>
    <hyperlink ref="AA33" r:id="rId57" display="10.1093/sleep/zsaf318"/>
    <hyperlink ref="Z34" r:id="rId58" display="https://pubmed.ncbi.nlm.nih.gov/42811329/"/>
    <hyperlink ref="AA34" r:id="rId59" display="10.1186/s12916-026-05276-y"/>
    <hyperlink ref="Z35" r:id="rId60" display="https://pubmed.ncbi.nlm.nih.gov/39788069/"/>
    <hyperlink ref="AA35" r:id="rId61" display="10.1016/j.amjsurg.2024.116175"/>
    <hyperlink ref="Z36" r:id="rId62" display="https://pubmed.ncbi.nlm.nih.gov/40370681/"/>
    <hyperlink ref="AA36" r:id="rId63" display="10.1080/21642850.2025.2503376"/>
    <hyperlink ref="Z37" r:id="rId64" display="https://pubmed.ncbi.nlm.nih.gov/41292097/"/>
    <hyperlink ref="AA37" r:id="rId65" display="10.1002/smi.70125"/>
    <hyperlink ref="Z38" r:id="rId66" display="https://pubmed.ncbi.nlm.nih.gov/38386373/"/>
    <hyperlink ref="AA38" r:id="rId67" display="10.2196/51569"/>
    <hyperlink ref="Z39" r:id="rId68" display="https://pubmed.ncbi.nlm.nih.gov/38347557/"/>
    <hyperlink ref="AA39" r:id="rId69" display="10.1186/s12912-024-01711-8"/>
    <hyperlink ref="Z40" r:id="rId70" display="https://pubmed.ncbi.nlm.nih.gov/37143859/"/>
    <hyperlink ref="AA40" r:id="rId71" display="10.1093/jamiaopen/ooad029"/>
    <hyperlink ref="Z41" r:id="rId72" display="https://pubmed.ncbi.nlm.nih.gov/37243855/"/>
    <hyperlink ref="AA41" r:id="rId73" display="10.1007/s11325-023-02839-8"/>
    <hyperlink ref="Z42" r:id="rId74" display="https://pubmed.ncbi.nlm.nih.gov/36016077/"/>
    <hyperlink ref="AA42" r:id="rId75" display="10.3390/s22166317"/>
    <hyperlink ref="Z43" r:id="rId76" display="https://pubmed.ncbi.nlm.nih.gov/33378539/"/>
    <hyperlink ref="AA43" r:id="rId77" display="10.1093/sleep/zsaa291"/>
    <hyperlink ref="Z44" r:id="rId78" display="https://pubmed.ncbi.nlm.nih.gov/40834291/"/>
    <hyperlink ref="AA44" r:id="rId79" display="10.14814/phy2.70527"/>
    <hyperlink ref="Z45" r:id="rId80" display="https://pubmed.ncbi.nlm.nih.gov/33529156/"/>
    <hyperlink ref="AA45" r:id="rId81" display="10.2196/2610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668</v>
      </c>
    </row>
    <row r="2" customFormat="false" ht="15" hidden="false" customHeight="false" outlineLevel="0" collapsed="false">
      <c r="A2" s="2" t="s">
        <v>669</v>
      </c>
    </row>
    <row r="4" customFormat="false" ht="15" hidden="false" customHeight="false" outlineLevel="0" collapsed="false">
      <c r="A4" s="28" t="s">
        <v>670</v>
      </c>
      <c r="B4" s="7" t="s">
        <v>671</v>
      </c>
      <c r="C4" s="7" t="s">
        <v>672</v>
      </c>
    </row>
    <row r="5" customFormat="false" ht="15" hidden="false" customHeight="false" outlineLevel="0" collapsed="false">
      <c r="A5" s="29" t="s">
        <v>673</v>
      </c>
      <c r="B5" s="30" t="n">
        <f aca="false">COUNTA('Literature Matrix'!$A$5:$A$45)</f>
        <v>41</v>
      </c>
      <c r="C5" s="31"/>
    </row>
    <row r="6" customFormat="false" ht="15" hidden="false" customHeight="false" outlineLevel="0" collapsed="false">
      <c r="A6" s="32" t="s">
        <v>674</v>
      </c>
      <c r="B6" s="33" t="n">
        <f aca="false">COUNTIF('Literature Matrix'!$I$5:$I$45,"&gt;=0.5")</f>
        <v>12</v>
      </c>
      <c r="C6" s="34" t="n">
        <f aca="false">IF($B$5=0,0,B6/$B$5)</f>
        <v>0.292682926829268</v>
      </c>
    </row>
    <row r="7" customFormat="false" ht="15" hidden="false" customHeight="false" outlineLevel="0" collapsed="false">
      <c r="A7" s="32" t="s">
        <v>675</v>
      </c>
      <c r="B7" s="33" t="n">
        <f aca="false">COUNTIF('Literature Matrix'!$I$5:$I$45,1)</f>
        <v>2</v>
      </c>
      <c r="C7" s="34" t="n">
        <f aca="false">IF($B$5=0,0,B7/$B$5)</f>
        <v>0.0487804878048781</v>
      </c>
    </row>
    <row r="8" customFormat="false" ht="15" hidden="false" customHeight="false" outlineLevel="0" collapsed="false">
      <c r="A8" s="32" t="s">
        <v>676</v>
      </c>
      <c r="B8" s="33" t="n">
        <f aca="false">COUNTIF('Literature Matrix'!$I$5:$I$45,"NR")</f>
        <v>17</v>
      </c>
      <c r="C8" s="34" t="n">
        <f aca="false">IF($B$5=0,0,B8/$B$5)</f>
        <v>0.414634146341463</v>
      </c>
    </row>
    <row r="9" customFormat="false" ht="15" hidden="false" customHeight="false" outlineLevel="0" collapsed="false">
      <c r="A9" s="32" t="s">
        <v>677</v>
      </c>
      <c r="B9" s="34" t="n">
        <f aca="false">IFERROR(AVERAGE('Literature Matrix'!$I$5:$I$45),0)</f>
        <v>0.657426614126057</v>
      </c>
      <c r="C9" s="31"/>
    </row>
    <row r="11" customFormat="false" ht="15" hidden="false" customHeight="false" outlineLevel="0" collapsed="false">
      <c r="A11" s="28" t="s">
        <v>678</v>
      </c>
      <c r="B11" s="7" t="s">
        <v>671</v>
      </c>
      <c r="C11" s="7" t="s">
        <v>672</v>
      </c>
    </row>
    <row r="12" customFormat="false" ht="15" hidden="false" customHeight="false" outlineLevel="0" collapsed="false">
      <c r="A12" s="32" t="s">
        <v>679</v>
      </c>
      <c r="B12" s="33" t="n">
        <f aca="false">COUNTIF('Literature Matrix'!$C$5:$C$45,2021)</f>
        <v>4</v>
      </c>
      <c r="C12" s="34" t="n">
        <f aca="false">IF($B$5=0,0,B12/$B$5)</f>
        <v>0.0975609756097561</v>
      </c>
    </row>
    <row r="13" customFormat="false" ht="15" hidden="false" customHeight="false" outlineLevel="0" collapsed="false">
      <c r="A13" s="32" t="s">
        <v>680</v>
      </c>
      <c r="B13" s="33" t="n">
        <f aca="false">COUNTIF('Literature Matrix'!$C$5:$C$45,2022)</f>
        <v>4</v>
      </c>
      <c r="C13" s="34" t="n">
        <f aca="false">IF($B$5=0,0,B13/$B$5)</f>
        <v>0.0975609756097561</v>
      </c>
    </row>
    <row r="14" customFormat="false" ht="15" hidden="false" customHeight="false" outlineLevel="0" collapsed="false">
      <c r="A14" s="32" t="s">
        <v>681</v>
      </c>
      <c r="B14" s="33" t="n">
        <f aca="false">COUNTIF('Literature Matrix'!$C$5:$C$45,2023)</f>
        <v>6</v>
      </c>
      <c r="C14" s="34" t="n">
        <f aca="false">IF($B$5=0,0,B14/$B$5)</f>
        <v>0.146341463414634</v>
      </c>
    </row>
    <row r="15" customFormat="false" ht="15" hidden="false" customHeight="false" outlineLevel="0" collapsed="false">
      <c r="A15" s="32" t="s">
        <v>682</v>
      </c>
      <c r="B15" s="33" t="n">
        <f aca="false">COUNTIF('Literature Matrix'!$C$5:$C$45,2024)</f>
        <v>6</v>
      </c>
      <c r="C15" s="34" t="n">
        <f aca="false">IF($B$5=0,0,B15/$B$5)</f>
        <v>0.146341463414634</v>
      </c>
    </row>
    <row r="16" customFormat="false" ht="15" hidden="false" customHeight="false" outlineLevel="0" collapsed="false">
      <c r="A16" s="32" t="s">
        <v>683</v>
      </c>
      <c r="B16" s="33" t="n">
        <f aca="false">COUNTIF('Literature Matrix'!$C$5:$C$45,2025)</f>
        <v>9</v>
      </c>
      <c r="C16" s="34" t="n">
        <f aca="false">IF($B$5=0,0,B16/$B$5)</f>
        <v>0.219512195121951</v>
      </c>
    </row>
    <row r="17" customFormat="false" ht="15" hidden="false" customHeight="false" outlineLevel="0" collapsed="false">
      <c r="A17" s="32" t="s">
        <v>684</v>
      </c>
      <c r="B17" s="33" t="n">
        <f aca="false">COUNTIF('Literature Matrix'!$C$5:$C$45,2026)</f>
        <v>12</v>
      </c>
      <c r="C17" s="34" t="n">
        <f aca="false">IF($B$5=0,0,B17/$B$5)</f>
        <v>0.292682926829268</v>
      </c>
    </row>
    <row r="18" customFormat="false" ht="15" hidden="false" customHeight="false" outlineLevel="0" collapsed="false">
      <c r="A18" s="29" t="s">
        <v>685</v>
      </c>
      <c r="B18" s="30" t="n">
        <f aca="false">SUM(B12:B17)</f>
        <v>41</v>
      </c>
      <c r="C18" s="34" t="n">
        <f aca="false">IF($B$5=0,0,B18/$B$5)</f>
        <v>1</v>
      </c>
    </row>
    <row r="20" customFormat="false" ht="15" hidden="false" customHeight="false" outlineLevel="0" collapsed="false">
      <c r="A20" s="28" t="s">
        <v>686</v>
      </c>
      <c r="B20" s="7" t="s">
        <v>671</v>
      </c>
      <c r="C20" s="7" t="s">
        <v>672</v>
      </c>
    </row>
    <row r="21" customFormat="false" ht="15" hidden="false" customHeight="false" outlineLevel="0" collapsed="false">
      <c r="A21" s="32" t="s">
        <v>92</v>
      </c>
      <c r="B21" s="33" t="n">
        <f aca="false">COUNTIF('Literature Matrix'!$K$5:$K$45,"Review")</f>
        <v>8</v>
      </c>
      <c r="C21" s="34" t="n">
        <f aca="false">IF($B$5=0,0,B21/$B$5)</f>
        <v>0.195121951219512</v>
      </c>
    </row>
    <row r="22" customFormat="false" ht="15" hidden="false" customHeight="false" outlineLevel="0" collapsed="false">
      <c r="A22" s="32" t="s">
        <v>145</v>
      </c>
      <c r="B22" s="33" t="n">
        <f aca="false">COUNTIF('Literature Matrix'!$K$5:$K$45,"Cross-sectional")</f>
        <v>6</v>
      </c>
      <c r="C22" s="34" t="n">
        <f aca="false">IF($B$5=0,0,B22/$B$5)</f>
        <v>0.146341463414634</v>
      </c>
    </row>
    <row r="23" customFormat="false" ht="15" hidden="false" customHeight="false" outlineLevel="0" collapsed="false">
      <c r="A23" s="32" t="s">
        <v>160</v>
      </c>
      <c r="B23" s="33" t="n">
        <f aca="false">COUNTIF('Literature Matrix'!$K$5:$K$45,"Longitudinal / cohort")</f>
        <v>12</v>
      </c>
      <c r="C23" s="34" t="n">
        <f aca="false">IF($B$5=0,0,B23/$B$5)</f>
        <v>0.292682926829268</v>
      </c>
    </row>
    <row r="24" customFormat="false" ht="15" hidden="false" customHeight="false" outlineLevel="0" collapsed="false">
      <c r="A24" s="32" t="s">
        <v>188</v>
      </c>
      <c r="B24" s="33" t="n">
        <f aca="false">COUNTIF('Literature Matrix'!$K$5:$K$45,"Daily diary / experience sampling")</f>
        <v>2</v>
      </c>
      <c r="C24" s="34" t="n">
        <f aca="false">IF($B$5=0,0,B24/$B$5)</f>
        <v>0.0487804878048781</v>
      </c>
    </row>
    <row r="25" customFormat="false" ht="15" hidden="false" customHeight="false" outlineLevel="0" collapsed="false">
      <c r="A25" s="32" t="s">
        <v>310</v>
      </c>
      <c r="B25" s="33" t="n">
        <f aca="false">COUNTIF('Literature Matrix'!$K$5:$K$45,"Intervention / quasi-experimental")</f>
        <v>4</v>
      </c>
      <c r="C25" s="34" t="n">
        <f aca="false">IF($B$5=0,0,B25/$B$5)</f>
        <v>0.0975609756097561</v>
      </c>
    </row>
    <row r="26" customFormat="false" ht="15" hidden="false" customHeight="false" outlineLevel="0" collapsed="false">
      <c r="A26" s="32" t="s">
        <v>548</v>
      </c>
      <c r="B26" s="33" t="n">
        <f aca="false">COUNTIF('Literature Matrix'!$K$5:$K$45,"Device validation")</f>
        <v>4</v>
      </c>
      <c r="C26" s="34" t="n">
        <f aca="false">IF($B$5=0,0,B26/$B$5)</f>
        <v>0.0975609756097561</v>
      </c>
    </row>
    <row r="27" customFormat="false" ht="15" hidden="false" customHeight="false" outlineLevel="0" collapsed="false">
      <c r="A27" s="32" t="s">
        <v>359</v>
      </c>
      <c r="B27" s="33" t="n">
        <f aca="false">COUNTIF('Literature Matrix'!$K$5:$K$45,"Measure validation")</f>
        <v>2</v>
      </c>
      <c r="C27" s="34" t="n">
        <f aca="false">IF($B$5=0,0,B27/$B$5)</f>
        <v>0.0487804878048781</v>
      </c>
    </row>
    <row r="28" customFormat="false" ht="15" hidden="false" customHeight="false" outlineLevel="0" collapsed="false">
      <c r="A28" s="32" t="s">
        <v>77</v>
      </c>
      <c r="B28" s="33" t="n">
        <f aca="false">COUNTIF('Literature Matrix'!$K$5:$K$45,"Other")</f>
        <v>3</v>
      </c>
      <c r="C28" s="34" t="n">
        <f aca="false">IF($B$5=0,0,B28/$B$5)</f>
        <v>0.0731707317073171</v>
      </c>
    </row>
    <row r="29" customFormat="false" ht="15" hidden="false" customHeight="false" outlineLevel="0" collapsed="false">
      <c r="A29" s="29" t="s">
        <v>685</v>
      </c>
      <c r="B29" s="30" t="n">
        <f aca="false">SUM(B21:B28)</f>
        <v>41</v>
      </c>
      <c r="C29" s="34" t="n">
        <f aca="false">IF($B$5=0,0,B29/$B$5)</f>
        <v>1</v>
      </c>
    </row>
    <row r="31" customFormat="false" ht="15" hidden="false" customHeight="false" outlineLevel="0" collapsed="false">
      <c r="A31" s="28" t="s">
        <v>687</v>
      </c>
      <c r="B31" s="7" t="s">
        <v>671</v>
      </c>
      <c r="C31" s="7" t="s">
        <v>672</v>
      </c>
    </row>
    <row r="32" customFormat="false" ht="15" hidden="false" customHeight="false" outlineLevel="0" collapsed="false">
      <c r="A32" s="32" t="s">
        <v>63</v>
      </c>
      <c r="B32" s="33" t="n">
        <f aca="false">COUNTIF('Literature Matrix'!$T$5:$T$45,"Y")</f>
        <v>20</v>
      </c>
      <c r="C32" s="34" t="n">
        <f aca="false">IF($B$5=0,0,B32/$B$5)</f>
        <v>0.487804878048781</v>
      </c>
    </row>
    <row r="33" customFormat="false" ht="15" hidden="false" customHeight="false" outlineLevel="0" collapsed="false">
      <c r="A33" s="32" t="s">
        <v>64</v>
      </c>
      <c r="B33" s="33" t="n">
        <f aca="false">COUNTIF('Literature Matrix'!$U$5:$U$45,"Y")</f>
        <v>21</v>
      </c>
      <c r="C33" s="34" t="n">
        <f aca="false">IF($B$5=0,0,B33/$B$5)</f>
        <v>0.51219512195122</v>
      </c>
    </row>
    <row r="34" customFormat="false" ht="15" hidden="false" customHeight="false" outlineLevel="0" collapsed="false">
      <c r="A34" s="32" t="s">
        <v>65</v>
      </c>
      <c r="B34" s="33" t="n">
        <f aca="false">COUNTIF('Literature Matrix'!$V$5:$V$45,"Y")</f>
        <v>23</v>
      </c>
      <c r="C34" s="34" t="n">
        <f aca="false">IF($B$5=0,0,B34/$B$5)</f>
        <v>0.560975609756098</v>
      </c>
    </row>
    <row r="35" customFormat="false" ht="15" hidden="false" customHeight="false" outlineLevel="0" collapsed="false">
      <c r="A35" s="32" t="s">
        <v>24</v>
      </c>
      <c r="B35" s="33" t="n">
        <f aca="false">COUNTIF('Literature Matrix'!$W$5:$W$45,"Y")</f>
        <v>23</v>
      </c>
      <c r="C35" s="34" t="n">
        <f aca="false">IF($B$5=0,0,B35/$B$5)</f>
        <v>0.560975609756098</v>
      </c>
    </row>
    <row r="36" customFormat="false" ht="15" hidden="false" customHeight="false" outlineLevel="0" collapsed="false">
      <c r="A36" s="32" t="s">
        <v>26</v>
      </c>
      <c r="B36" s="33" t="n">
        <f aca="false">COUNTIF('Literature Matrix'!$X$5:$X$45,"Y")</f>
        <v>12</v>
      </c>
      <c r="C36" s="34" t="n">
        <f aca="false">IF($B$5=0,0,B36/$B$5)</f>
        <v>0.292682926829268</v>
      </c>
    </row>
    <row r="37" customFormat="false" ht="15" hidden="false" customHeight="false" outlineLevel="0" collapsed="false">
      <c r="A37" s="32" t="s">
        <v>66</v>
      </c>
      <c r="B37" s="33" t="n">
        <f aca="false">COUNTIF('Literature Matrix'!$Y$5:$Y$45,"Y")</f>
        <v>9</v>
      </c>
      <c r="C37" s="34" t="n">
        <f aca="false">IF($B$5=0,0,B37/$B$5)</f>
        <v>0.219512195121951</v>
      </c>
    </row>
    <row r="39" customFormat="false" ht="15" hidden="false" customHeight="false" outlineLevel="0" collapsed="false">
      <c r="A39" s="28" t="s">
        <v>688</v>
      </c>
      <c r="B39" s="7" t="s">
        <v>671</v>
      </c>
      <c r="C39" s="7" t="s">
        <v>672</v>
      </c>
    </row>
    <row r="40" customFormat="false" ht="15" hidden="false" customHeight="false" outlineLevel="0" collapsed="false">
      <c r="A40" s="32" t="s">
        <v>689</v>
      </c>
      <c r="B40" s="33" t="n">
        <f aca="false">COUNTIFS('Literature Matrix'!$T$5:$T$45,"Y",'Literature Matrix'!$U$5:$U$45,"Y")</f>
        <v>10</v>
      </c>
      <c r="C40" s="34" t="n">
        <f aca="false">IF($B$5=0,0,B40/$B$5)</f>
        <v>0.24390243902439</v>
      </c>
    </row>
    <row r="41" customFormat="false" ht="15" hidden="false" customHeight="false" outlineLevel="0" collapsed="false">
      <c r="A41" s="32" t="s">
        <v>690</v>
      </c>
      <c r="B41" s="33" t="n">
        <f aca="false">COUNTIFS('Literature Matrix'!$T$5:$T$45,"Y",'Literature Matrix'!$V$5:$V$45,"Y")</f>
        <v>9</v>
      </c>
      <c r="C41" s="34" t="n">
        <f aca="false">IF($B$5=0,0,B41/$B$5)</f>
        <v>0.219512195121951</v>
      </c>
    </row>
    <row r="42" customFormat="false" ht="15" hidden="false" customHeight="false" outlineLevel="0" collapsed="false">
      <c r="A42" s="32" t="s">
        <v>691</v>
      </c>
      <c r="B42" s="33" t="n">
        <f aca="false">COUNTIFS('Literature Matrix'!$T$5:$T$45,"Y",'Literature Matrix'!$U$5:$U$45,"Y",'Literature Matrix'!$V$5:$V$45,"Y")</f>
        <v>4</v>
      </c>
      <c r="C42" s="34" t="n">
        <f aca="false">IF($B$5=0,0,B42/$B$5)</f>
        <v>0.0975609756097561</v>
      </c>
    </row>
    <row r="43" customFormat="false" ht="15" hidden="false" customHeight="false" outlineLevel="0" collapsed="false">
      <c r="A43" s="32" t="s">
        <v>692</v>
      </c>
      <c r="B43" s="33" t="n">
        <f aca="false">COUNTIFS('Literature Matrix'!$T$5:$T$45,"Y",'Literature Matrix'!$U$5:$U$45,"Y",'Literature Matrix'!$V$5:$V$45,"Y",'Literature Matrix'!$W$5:$W$45,"Y")</f>
        <v>4</v>
      </c>
      <c r="C43" s="34" t="n">
        <f aca="false">IF($B$5=0,0,B43/$B$5)</f>
        <v>0.0975609756097561</v>
      </c>
    </row>
    <row r="44" customFormat="false" ht="15" hidden="false" customHeight="false" outlineLevel="0" collapsed="false">
      <c r="A44" s="32" t="s">
        <v>693</v>
      </c>
      <c r="B44" s="33" t="n">
        <f aca="false">COUNTIFS('Literature Matrix'!$T$5:$T$45,"Y",'Literature Matrix'!$U$5:$U$45,"Y",'Literature Matrix'!$V$5:$V$45,"Y",'Literature Matrix'!$W$5:$W$45,"Y",'Literature Matrix'!$X$5:$X$45,"Y")</f>
        <v>0</v>
      </c>
      <c r="C44" s="34" t="n">
        <f aca="false">IF($B$5=0,0,B44/$B$5)</f>
        <v>0</v>
      </c>
    </row>
    <row r="45" customFormat="false" ht="15" hidden="false" customHeight="false" outlineLevel="0" collapsed="false">
      <c r="A45" s="32" t="s">
        <v>694</v>
      </c>
      <c r="B45" s="33" t="n">
        <f aca="false">COUNTIFS('Literature Matrix'!$T$5:$T$45,"Y",'Literature Matrix'!$W$5:$W$45,"Y",'Literature Matrix'!$Y$5:$Y$45,"Y")</f>
        <v>0</v>
      </c>
      <c r="C45" s="34" t="n">
        <f aca="false">IF($B$5=0,0,B45/$B$5)</f>
        <v>0</v>
      </c>
    </row>
    <row r="47" customFormat="false" ht="43.5" hidden="false" customHeight="true" outlineLevel="0" collapsed="false">
      <c r="A47" s="35" t="str">
        <f aca="false">"Gap: only "&amp;B43&amp;" of "&amp;B5&amp;" sources measured burnout, sleep, and HRV/RHR with a consumer wearable; "&amp;IF(B44=0,"none",B44)&amp;" of these reported results for women, and "&amp;IF(B45=0,"none",B45)&amp;" combined burnout and a consumer wearable in students."</f>
        <v>Gap: only 4 of 41 sources measured burnout, sleep, and HRV/RHR with a consumer wearable; none of these reported results for women, and none combined burnout and a consumer wearable in students.</v>
      </c>
      <c r="B47" s="35"/>
      <c r="C47" s="35"/>
    </row>
    <row r="48" customFormat="false" ht="27.75" hidden="false" customHeight="true" outlineLevel="0" collapsed="false">
      <c r="A48" s="36" t="s">
        <v>695</v>
      </c>
      <c r="B48" s="36"/>
      <c r="C48" s="36"/>
    </row>
    <row r="50" customFormat="false" ht="15" hidden="false" customHeight="false" outlineLevel="0" collapsed="false">
      <c r="A50" s="28" t="s">
        <v>696</v>
      </c>
      <c r="B50" s="7" t="s">
        <v>671</v>
      </c>
      <c r="C50" s="7" t="s">
        <v>672</v>
      </c>
    </row>
    <row r="51" customFormat="false" ht="15" hidden="false" customHeight="false" outlineLevel="0" collapsed="false">
      <c r="A51" s="32" t="s">
        <v>697</v>
      </c>
      <c r="B51" s="33" t="n">
        <f aca="false">COUNTIF('Literature Matrix'!$O$5:$O$45,"*Oura*")</f>
        <v>6</v>
      </c>
      <c r="C51" s="34" t="n">
        <f aca="false">IF($B$5=0,0,B51/$B$5)</f>
        <v>0.146341463414634</v>
      </c>
    </row>
    <row r="52" customFormat="false" ht="15" hidden="false" customHeight="false" outlineLevel="0" collapsed="false">
      <c r="A52" s="32" t="s">
        <v>207</v>
      </c>
      <c r="B52" s="33" t="n">
        <f aca="false">COUNTIF('Literature Matrix'!$O$5:$O$45,"*Fitbit*")</f>
        <v>4</v>
      </c>
      <c r="C52" s="34" t="n">
        <f aca="false">IF($B$5=0,0,B52/$B$5)</f>
        <v>0.0975609756097561</v>
      </c>
    </row>
    <row r="53" customFormat="false" ht="15" hidden="false" customHeight="false" outlineLevel="0" collapsed="false">
      <c r="A53" s="32" t="s">
        <v>596</v>
      </c>
      <c r="B53" s="33" t="n">
        <f aca="false">COUNTIF('Literature Matrix'!$O$5:$O$45,"*Apple Watch*")</f>
        <v>3</v>
      </c>
      <c r="C53" s="34" t="n">
        <f aca="false">IF($B$5=0,0,B53/$B$5)</f>
        <v>0.0731707317073171</v>
      </c>
    </row>
    <row r="54" customFormat="false" ht="15" hidden="false" customHeight="false" outlineLevel="0" collapsed="false">
      <c r="A54" s="32" t="s">
        <v>698</v>
      </c>
      <c r="B54" s="33" t="n">
        <f aca="false">COUNTIF('Literature Matrix'!$O$5:$O$45,"*WHOOP*")</f>
        <v>4</v>
      </c>
      <c r="C54" s="34" t="n">
        <f aca="false">IF($B$5=0,0,B54/$B$5)</f>
        <v>0.0975609756097561</v>
      </c>
    </row>
    <row r="55" customFormat="false" ht="15" hidden="false" customHeight="false" outlineLevel="0" collapsed="false">
      <c r="A55" s="32" t="s">
        <v>699</v>
      </c>
      <c r="B55" s="33" t="n">
        <f aca="false">COUNTIF('Literature Matrix'!$O$5:$O$45,"*Garmin*")</f>
        <v>4</v>
      </c>
      <c r="C55" s="34" t="n">
        <f aca="false">IF($B$5=0,0,B55/$B$5)</f>
        <v>0.0975609756097561</v>
      </c>
    </row>
    <row r="56" customFormat="false" ht="15" hidden="false" customHeight="false" outlineLevel="0" collapsed="false">
      <c r="A56" s="32" t="s">
        <v>700</v>
      </c>
      <c r="B56" s="33" t="n">
        <f aca="false">COUNTIF('Literature Matrix'!$O$5:$O$45,"*Polar*")</f>
        <v>4</v>
      </c>
      <c r="C56" s="34" t="n">
        <f aca="false">IF($B$5=0,0,B56/$B$5)</f>
        <v>0.0975609756097561</v>
      </c>
    </row>
    <row r="57" customFormat="false" ht="15" hidden="false" customHeight="false" outlineLevel="0" collapsed="false">
      <c r="A57" s="32" t="s">
        <v>701</v>
      </c>
      <c r="B57" s="33" t="n">
        <f aca="false">COUNTIF('Literature Matrix'!$O$5:$O$45,"*Huawei*")</f>
        <v>1</v>
      </c>
      <c r="C57" s="34" t="n">
        <f aca="false">IF($B$5=0,0,B57/$B$5)</f>
        <v>0.024390243902439</v>
      </c>
    </row>
  </sheetData>
  <mergeCells count="2">
    <mergeCell ref="A47:C47"/>
    <mergeCell ref="A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2026-10-12T16:38:09Z</dcterms:created>
  <dc:creator/>
  <dc:description/>
  <dc:language>en-US</dc:language>
  <cp:lastModifiedBy/>
  <dcterms:modified xsi:type="dcterms:W3CDTF">2026-10-12T16:38:09Z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