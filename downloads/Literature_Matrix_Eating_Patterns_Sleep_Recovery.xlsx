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terature Matrix" sheetId="1" state="visible" r:id="rId3"/>
  </sheets>
  <definedNames>
    <definedName function="false" hidden="false" localSheetId="0" name="_xlnm.Print_Titles" vbProcedure="false">'Literature Matrix'!$3:$4</definedName>
    <definedName function="false" hidden="true" localSheetId="0" name="_xlnm._FilterDatabase" vbProcedure="false">'Literature Matrix'!$A$4:$AD$46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<sst xmlns="http://schemas.openxmlformats.org/spreadsheetml/2006/main" count="919" uniqueCount="625">
  <si>
    <t xml:space="preserve">Literature Matrix: Eating Patterns, Sleep Health, and Physiological Recovery Among Adult Wearable Users</t>
  </si>
  <si>
    <t xml:space="preserve">42 sources (2021–2026), numbered as in the literature review.   Key: Y = yes;  NR = not reported in the abstract;  n/a (review) = does not apply to reviews;  * = country of the authors' institution (data collection site not stated);  — = not measured or not applicable.</t>
  </si>
  <si>
    <t xml:space="preserve">Study</t>
  </si>
  <si>
    <t xml:space="preserve">Sample and design</t>
  </si>
  <si>
    <t xml:space="preserve">Variables and measures</t>
  </si>
  <si>
    <t xml:space="preserve">Findings and appraisal</t>
  </si>
  <si>
    <t xml:space="preserve">Coverage (Y = yes)</t>
  </si>
  <si>
    <t xml:space="preserve">Source</t>
  </si>
  <si>
    <t xml:space="preserve">Ref #</t>
  </si>
  <si>
    <t xml:space="preserve">First author</t>
  </si>
  <si>
    <t xml:space="preserve">Year</t>
  </si>
  <si>
    <t xml:space="preserve">Title</t>
  </si>
  <si>
    <t xml:space="preserve">Journal</t>
  </si>
  <si>
    <t xml:space="preserve">Country / setting</t>
  </si>
  <si>
    <t xml:space="preserve">Population</t>
  </si>
  <si>
    <t xml:space="preserve">Sample size (n)</t>
  </si>
  <si>
    <t xml:space="preserve">Women (%)</t>
  </si>
  <si>
    <t xml:space="preserve">Study design</t>
  </si>
  <si>
    <t xml:space="preserve">Design type</t>
  </si>
  <si>
    <t xml:space="preserve">Eating pattern measure</t>
  </si>
  <si>
    <t xml:space="preserve">Sleep measure</t>
  </si>
  <si>
    <t xml:space="preserve">Recovery measure (HRV, RHR, scores)</t>
  </si>
  <si>
    <t xml:space="preserve">Wearable device</t>
  </si>
  <si>
    <t xml:space="preserve">Key findings</t>
  </si>
  <si>
    <t xml:space="preserve">Limitations</t>
  </si>
  <si>
    <t xml:space="preserve">Relevance to my study</t>
  </si>
  <si>
    <t xml:space="preserve">Used in review section(s)</t>
  </si>
  <si>
    <t xml:space="preserve">Eating pattern measured</t>
  </si>
  <si>
    <t xml:space="preserve">Meal timing / late eating</t>
  </si>
  <si>
    <t xml:space="preserve">Fasting window / TRE</t>
  </si>
  <si>
    <t xml:space="preserve">Meal frequency / regularity</t>
  </si>
  <si>
    <t xml:space="preserve">Sleep measured</t>
  </si>
  <si>
    <t xml:space="preserve">HRV / RHR measured</t>
  </si>
  <si>
    <t xml:space="preserve">Consumer wearable</t>
  </si>
  <si>
    <t xml:space="preserve">Women / sex results</t>
  </si>
  <si>
    <t xml:space="preserve">PMID</t>
  </si>
  <si>
    <t xml:space="preserve">DOI</t>
  </si>
  <si>
    <t xml:space="preserve">AMA reference</t>
  </si>
  <si>
    <t xml:space="preserve">Saidi et al</t>
  </si>
  <si>
    <t xml:space="preserve">Chrono-nutrition and sleep: lessons from the temporal feature of eating patterns in human studies—a systematic scoping review</t>
  </si>
  <si>
    <t xml:space="preserve">Sleep Med Rev</t>
  </si>
  <si>
    <t xml:space="preserve">Multiple (review)</t>
  </si>
  <si>
    <t xml:space="preserve">Human studies of eating timing and sleep</t>
  </si>
  <si>
    <t xml:space="preserve">Meal timing 35, irregular eating 84, frequency 3 studies</t>
  </si>
  <si>
    <t xml:space="preserve">n/a (review)</t>
  </si>
  <si>
    <t xml:space="preserve">Systematic scoping review</t>
  </si>
  <si>
    <t xml:space="preserve">Review</t>
  </si>
  <si>
    <t xml:space="preserve">Meal timing, breakfast skipping, late eating, fasting, meal frequency</t>
  </si>
  <si>
    <t xml:space="preserve">Various sleep outcomes</t>
  </si>
  <si>
    <t xml:space="preserve">—</t>
  </si>
  <si>
    <t xml:space="preserve">Almost two-thirds of the literature published in the preceding 6 years. Most studies on irregular eating (especially daytime fasting); meal frequency least studied (3 studies).</t>
  </si>
  <si>
    <t xml:space="preserve">Maps the evidence; does not pool effect sizes.</t>
  </si>
  <si>
    <t xml:space="preserve">Defines the dimensions of eating timing; shows meal frequency is understudied.</t>
  </si>
  <si>
    <t xml:space="preserve">Introduction; Eating Patterns and Sleep</t>
  </si>
  <si>
    <t xml:space="preserve">Y</t>
  </si>
  <si>
    <t xml:space="preserve">10.1016/j.smrv.2024.101953</t>
  </si>
  <si>
    <r>
      <rPr>
        <sz val="10"/>
        <rFont val="Arial"/>
        <family val="0"/>
        <charset val="1"/>
      </rPr>
      <t xml:space="preserve">Saidi O, Rochette E, Dambel L, St-Onge MP, Duché P. Chrono-nutrition and sleep: lessons from the temporal feature of eating patterns in human studies—a systematic scoping review. </t>
    </r>
    <r>
      <rPr>
        <i val="true"/>
        <sz val="10"/>
        <rFont val="Arial"/>
        <family val="0"/>
        <charset val="1"/>
      </rPr>
      <t xml:space="preserve">Sleep Med Rev</t>
    </r>
    <r>
      <rPr>
        <sz val="10"/>
        <rFont val="Arial"/>
        <family val="0"/>
        <charset val="1"/>
      </rPr>
      <t xml:space="preserve">. 2024;76:101953. doi:10.1016/j.smrv.2024.101953</t>
    </r>
  </si>
  <si>
    <t xml:space="preserve">Latimer et al</t>
  </si>
  <si>
    <t xml:space="preserve">Timing of food intake impacts cardiovascular and neuroendocrine physiology and risk of disease</t>
  </si>
  <si>
    <t xml:space="preserve">Cardiovasc Res</t>
  </si>
  <si>
    <t xml:space="preserve">n/a (narrative review)</t>
  </si>
  <si>
    <t xml:space="preserve">Preclinical and clinical studies</t>
  </si>
  <si>
    <t xml:space="preserve">Narrative review</t>
  </si>
  <si>
    <t xml:space="preserve">Time-restricted feeding, extended fasting</t>
  </si>
  <si>
    <t xml:space="preserve">Cardiovascular and neuroendocrine physiology</t>
  </si>
  <si>
    <t xml:space="preserve">Restricting eating to part of the day or extending fasting may benefit the cardiovascular system, probably through circadian alignment of organ function with behavior.</t>
  </si>
  <si>
    <t xml:space="preserve">Narrative review; includes animal studies.</t>
  </si>
  <si>
    <t xml:space="preserve">Background on why eating timing could affect heart rate and recovery.</t>
  </si>
  <si>
    <t xml:space="preserve">Introduction</t>
  </si>
  <si>
    <t xml:space="preserve">10.1093/cvr/cvag169</t>
  </si>
  <si>
    <r>
      <rPr>
        <sz val="10"/>
        <rFont val="Arial"/>
        <family val="0"/>
        <charset val="1"/>
      </rPr>
      <t xml:space="preserve">Latimer MN, Rhoads MK, Pollock DM. Timing of food intake impacts cardiovascular and neuroendocrine physiology and risk of disease. </t>
    </r>
    <r>
      <rPr>
        <i val="true"/>
        <sz val="10"/>
        <rFont val="Arial"/>
        <family val="0"/>
        <charset val="1"/>
      </rPr>
      <t xml:space="preserve">Cardiovasc Res</t>
    </r>
    <r>
      <rPr>
        <sz val="10"/>
        <rFont val="Arial"/>
        <family val="0"/>
        <charset val="1"/>
      </rPr>
      <t xml:space="preserve">. 2026;122(13):1740-1760. doi:10.1093/cvr/cvag169</t>
    </r>
  </si>
  <si>
    <t xml:space="preserve">Iao et al</t>
  </si>
  <si>
    <t xml:space="preserve">Associations between bedtime eating or drinking, sleep duration and wake after sleep onset: findings from the American Time Use Survey</t>
  </si>
  <si>
    <t xml:space="preserve">Br J Nutr</t>
  </si>
  <si>
    <t xml:space="preserve">USA</t>
  </si>
  <si>
    <t xml:space="preserve">US residents aged ≥15 (American Time Use Survey 2003–2018)</t>
  </si>
  <si>
    <t xml:space="preserve">NR (national survey)</t>
  </si>
  <si>
    <t xml:space="preserve">NR</t>
  </si>
  <si>
    <t xml:space="preserve">Cross-sectional analysis of national time-use diaries</t>
  </si>
  <si>
    <t xml:space="preserve">Cross-sectional</t>
  </si>
  <si>
    <t xml:space="preserve">Eating or drinking &lt;1, &lt;2, &lt;3 h before bedtime</t>
  </si>
  <si>
    <t xml:space="preserve">Sleep duration; wake after sleep onset &gt;30 min</t>
  </si>
  <si>
    <t xml:space="preserve">Eating/drinking &lt;1 h before bed: 35 min (women) and 25 min (men) longer sleep, but higher odds of WASO (OR 2.03 women, 2.64 men). Longer gap before bed → lower odds of short/long sleep and WASO.</t>
  </si>
  <si>
    <t xml:space="preserve">Single 24-h diary; self-reported; cannot show cause and effect.</t>
  </si>
  <si>
    <t xml:space="preserve">Population evidence that eating close to bedtime disrupts sleep; results given for women.</t>
  </si>
  <si>
    <t xml:space="preserve">Eating Patterns and Sleep; Gaps in the Literature</t>
  </si>
  <si>
    <t xml:space="preserve">10.1017/S0007114521003597</t>
  </si>
  <si>
    <r>
      <rPr>
        <sz val="10"/>
        <rFont val="Arial"/>
        <family val="0"/>
        <charset val="1"/>
      </rPr>
      <t xml:space="preserve">Iao SI, Jansen E, Shedden K, et al. Associations between bedtime eating or drinking, sleep duration and wake after sleep onset: findings from the American Time Use Survey. </t>
    </r>
    <r>
      <rPr>
        <i val="true"/>
        <sz val="10"/>
        <rFont val="Arial"/>
        <family val="0"/>
        <charset val="1"/>
      </rPr>
      <t xml:space="preserve">Br J Nutr</t>
    </r>
    <r>
      <rPr>
        <sz val="10"/>
        <rFont val="Arial"/>
        <family val="0"/>
        <charset val="1"/>
      </rPr>
      <t xml:space="preserve">. 2022;127(12):1888-1897. doi:10.1017/s0007114521003597</t>
    </r>
  </si>
  <si>
    <t xml:space="preserve">Al-Jawarneh et al</t>
  </si>
  <si>
    <t xml:space="preserve">The association of unhealthy eating behaviors with sleep quality outcomes among university students: a cross-sectional study</t>
  </si>
  <si>
    <t xml:space="preserve">Nutrients</t>
  </si>
  <si>
    <t xml:space="preserve">Hungary*</t>
  </si>
  <si>
    <t xml:space="preserve">International university students</t>
  </si>
  <si>
    <t xml:space="preserve">385</t>
  </si>
  <si>
    <t xml:space="preserve">Cross-sectional survey</t>
  </si>
  <si>
    <t xml:space="preserve">Heavy evening meals, snacks replacing meals, meal-to-bedtime interval</t>
  </si>
  <si>
    <t xml:space="preserve">Pittsburgh Sleep Quality Index (PSQI)</t>
  </si>
  <si>
    <t xml:space="preserve">51.7% poor sleep quality. Eating within 3 h of bed (OR 2.06), heavy evening meals (OR 2.73) and snacks replacing meals (OR 2.68) linked to poor sleep quality. Daytime dysfunction more common in women.</t>
  </si>
  <si>
    <t xml:space="preserve">Self-report; one university; cross-sectional.</t>
  </si>
  <si>
    <t xml:space="preserve">Supports using the last-meal-to-bedtime gap as an exposure.</t>
  </si>
  <si>
    <t xml:space="preserve">Eating Patterns and Sleep</t>
  </si>
  <si>
    <t xml:space="preserve">10.3390/nu17223580</t>
  </si>
  <si>
    <r>
      <rPr>
        <sz val="10"/>
        <rFont val="Arial"/>
        <family val="0"/>
        <charset val="1"/>
      </rPr>
      <t xml:space="preserve">Al-Jawarneh M, Chauhan S, Csölle I, Lohner S. The association of unhealthy eating behaviors with sleep quality outcomes among university students: a cross-sectional study. </t>
    </r>
    <r>
      <rPr>
        <i val="true"/>
        <sz val="10"/>
        <rFont val="Arial"/>
        <family val="0"/>
        <charset val="1"/>
      </rPr>
      <t xml:space="preserve">Nutrients</t>
    </r>
    <r>
      <rPr>
        <sz val="10"/>
        <rFont val="Arial"/>
        <family val="0"/>
        <charset val="1"/>
      </rPr>
      <t xml:space="preserve">. 2025;17(22):3580. doi:10.3390/nu17223580</t>
    </r>
  </si>
  <si>
    <t xml:space="preserve">Duan et al</t>
  </si>
  <si>
    <t xml:space="preserve">Effects of dinner timing on sleep stage distribution and EEG power spectrum in healthy volunteers</t>
  </si>
  <si>
    <t xml:space="preserve">Nat Sci Sleep</t>
  </si>
  <si>
    <t xml:space="preserve">USA*</t>
  </si>
  <si>
    <t xml:space="preserve">Healthy adults</t>
  </si>
  <si>
    <t xml:space="preserve">20</t>
  </si>
  <si>
    <t xml:space="preserve">Randomized crossover (post hoc), laboratory</t>
  </si>
  <si>
    <t xml:space="preserve">Randomized or controlled trial</t>
  </si>
  <si>
    <t xml:space="preserve">Dinner 1 h vs 5 h before bedtime</t>
  </si>
  <si>
    <t xml:space="preserve">Polysomnography and EEG spectral power</t>
  </si>
  <si>
    <t xml:space="preserve">Polysomnography (laboratory)</t>
  </si>
  <si>
    <t xml:space="preserve">Conventional sleep stages similar. Late dinner gave slightly deeper sleep early in the night and lighter sleep later.</t>
  </si>
  <si>
    <t xml:space="preserve">One night; fixed laboratory sleep time; small sample.</t>
  </si>
  <si>
    <t xml:space="preserve">Shows lab results conflict with surveys → need real-world data.</t>
  </si>
  <si>
    <t xml:space="preserve">10.2147/NSS.S301113</t>
  </si>
  <si>
    <r>
      <rPr>
        <sz val="10"/>
        <rFont val="Arial"/>
        <family val="0"/>
        <charset val="1"/>
      </rPr>
      <t xml:space="preserve">Duan D, Gu C, Polotsky VY, Jun JC, Pham LV. Effects of dinner timing on sleep stage distribution and EEG power spectrum in healthy volunteers. </t>
    </r>
    <r>
      <rPr>
        <i val="true"/>
        <sz val="10"/>
        <rFont val="Arial"/>
        <family val="0"/>
        <charset val="1"/>
      </rPr>
      <t xml:space="preserve">Nat Sci Sleep</t>
    </r>
    <r>
      <rPr>
        <sz val="10"/>
        <rFont val="Arial"/>
        <family val="0"/>
        <charset val="1"/>
      </rPr>
      <t xml:space="preserve">. 2021;13:601-612. doi:10.2147/nss.s301113</t>
    </r>
  </si>
  <si>
    <t xml:space="preserve">Enomoto et al</t>
  </si>
  <si>
    <t xml:space="preserve">Effects of later dinner timing on subsequent metabolic function and nocturnal sleep in healthy young women</t>
  </si>
  <si>
    <t xml:space="preserve">J Physiol Anthropol</t>
  </si>
  <si>
    <t xml:space="preserve">Japan*</t>
  </si>
  <si>
    <t xml:space="preserve">Healthy young women (mean age 21)</t>
  </si>
  <si>
    <t xml:space="preserve">13</t>
  </si>
  <si>
    <t xml:space="preserve">Randomized crossover trial at home (2 × 6 days)</t>
  </si>
  <si>
    <t xml:space="preserve">Dinner 1 h vs 5 h before habitual bedtime</t>
  </si>
  <si>
    <t xml:space="preserve">Portable sleep EEG</t>
  </si>
  <si>
    <t xml:space="preserve">Portable 2-channel EEG; continuous glucose monitor</t>
  </si>
  <si>
    <t xml:space="preserve">Late dinner (1 h before bed) shortened total sleep, lowered sleep efficiency, increased WASO and arousals. Only transient glucose changes.</t>
  </si>
  <si>
    <t xml:space="preserve">Very small; young women only; 4 intervention days.</t>
  </si>
  <si>
    <t xml:space="preserve">Women-only evidence that late dinners disrupt sleep in daily life.</t>
  </si>
  <si>
    <t xml:space="preserve">Eating Patterns and Sleep; Women-Specific Considerations; Wearable Device Studies; Gaps in the Literature</t>
  </si>
  <si>
    <t xml:space="preserve">10.1186/s40101-026-00430-0</t>
  </si>
  <si>
    <r>
      <rPr>
        <sz val="10"/>
        <rFont val="Arial"/>
        <family val="0"/>
        <charset val="1"/>
      </rPr>
      <t xml:space="preserve">Enomoto M, Kitamura S, Kunieda T, Eto T. Effects of later dinner timing on subsequent metabolic function and nocturnal sleep in healthy young women. </t>
    </r>
    <r>
      <rPr>
        <i val="true"/>
        <sz val="10"/>
        <rFont val="Arial"/>
        <family val="0"/>
        <charset val="1"/>
      </rPr>
      <t xml:space="preserve">J Physiol Anthropol</t>
    </r>
    <r>
      <rPr>
        <sz val="10"/>
        <rFont val="Arial"/>
        <family val="0"/>
        <charset val="1"/>
      </rPr>
      <t xml:space="preserve">. 2026;45(1):12. doi:10.1186/s40101-026-00430-0</t>
    </r>
  </si>
  <si>
    <t xml:space="preserve">Giltelin et al</t>
  </si>
  <si>
    <t xml:space="preserve">A cross-sectional multifactorial analysis of chrononutrition, sleep quality and sleep patterns among healthcare shift workers</t>
  </si>
  <si>
    <t xml:space="preserve">Acta Psychol (Amst)</t>
  </si>
  <si>
    <t xml:space="preserve">Malaysia</t>
  </si>
  <si>
    <t xml:space="preserve">Rotating health care shift workers</t>
  </si>
  <si>
    <t xml:space="preserve">Chrononutrition Profile Questionnaire (breakfast skipping, night eating, eating window)</t>
  </si>
  <si>
    <t xml:space="preserve">PSQI; Munich Chronotype Questionnaire for shift workers</t>
  </si>
  <si>
    <t xml:space="preserve">40.8% skipped breakfast; 66.0% poor sleep quality; 53.4% social jetlag. Poorer sleep quality associated with night eating. Most kept a 10–13 h eating window.</t>
  </si>
  <si>
    <t xml:space="preserve">Self-report; shift workers only.</t>
  </si>
  <si>
    <t xml:space="preserve">Shift work should be recorded as a covariate.</t>
  </si>
  <si>
    <t xml:space="preserve">10.1016/j.actpsy.2025.105900</t>
  </si>
  <si>
    <r>
      <rPr>
        <sz val="10"/>
        <rFont val="Arial"/>
        <family val="0"/>
        <charset val="1"/>
      </rPr>
      <t xml:space="preserve">Giltelin ENF, Teng NIMF, Mohd Azmi NAS, et al. A cross-sectional multifactorial analysis of chrononutrition, sleep quality and sleep patterns among healthcare shift workers. </t>
    </r>
    <r>
      <rPr>
        <i val="true"/>
        <sz val="10"/>
        <rFont val="Arial"/>
        <family val="0"/>
        <charset val="1"/>
      </rPr>
      <t xml:space="preserve">Acta Psychol (Amst)</t>
    </r>
    <r>
      <rPr>
        <sz val="10"/>
        <rFont val="Arial"/>
        <family val="0"/>
        <charset val="1"/>
      </rPr>
      <t xml:space="preserve">. 2025;261:105900. doi:10.1016/j.actpsy.2025.105900</t>
    </r>
  </si>
  <si>
    <t xml:space="preserve">Bermúdez-Millán et al</t>
  </si>
  <si>
    <t xml:space="preserve">Night eating among Latinos with diabetes: exploring associations with heart rate variability, eating patterns, and sleep</t>
  </si>
  <si>
    <t xml:space="preserve">J Nutr Educ Behav</t>
  </si>
  <si>
    <t xml:space="preserve">Latino adults with type 2 diabetes</t>
  </si>
  <si>
    <t xml:space="preserve">85</t>
  </si>
  <si>
    <t xml:space="preserve">Self-reported night eating</t>
  </si>
  <si>
    <t xml:space="preserve">Self-reported sleep quality</t>
  </si>
  <si>
    <t xml:space="preserve">24-h Holter HRV</t>
  </si>
  <si>
    <t xml:space="preserve">Holter monitor (not consumer)</t>
  </si>
  <si>
    <t xml:space="preserve">Night eaters had lower HRV (LF and VLF bands), more emotional eating and poorer sleep quality. Associations not significant after adjusting for depressive symptoms.</t>
  </si>
  <si>
    <t xml:space="preserve">Clinical population; cross-sectional; depression may explain the links.</t>
  </si>
  <si>
    <t xml:space="preserve">Links night eating to lower HRV; shows mood should be measured.</t>
  </si>
  <si>
    <t xml:space="preserve">Eating Patterns and Sleep; Eating Patterns and Physiological Recovery</t>
  </si>
  <si>
    <t xml:space="preserve">10.1016/j.jneb.2022.02.006</t>
  </si>
  <si>
    <r>
      <rPr>
        <sz val="10"/>
        <rFont val="Arial"/>
        <family val="0"/>
        <charset val="1"/>
      </rPr>
      <t xml:space="preserve">Bermúdez-Millán A, Pérez-Escamilla R, Lampert R, et al. Night eating among Latinos with diabetes: exploring associations with heart rate variability, eating patterns, and sleep. </t>
    </r>
    <r>
      <rPr>
        <i val="true"/>
        <sz val="10"/>
        <rFont val="Arial"/>
        <family val="0"/>
        <charset val="1"/>
      </rPr>
      <t xml:space="preserve">J Nutr Educ Behav</t>
    </r>
    <r>
      <rPr>
        <sz val="10"/>
        <rFont val="Arial"/>
        <family val="0"/>
        <charset val="1"/>
      </rPr>
      <t xml:space="preserve">. 2022;54(5):449-454. doi:10.1016/j.jneb.2022.02.006</t>
    </r>
  </si>
  <si>
    <t xml:space="preserve">Xian et al</t>
  </si>
  <si>
    <t xml:space="preserve">Breakfast frequency and sleep quality in college students: the multiple mediating effects of sleep chronotypes and depressive symptoms</t>
  </si>
  <si>
    <t xml:space="preserve">China*</t>
  </si>
  <si>
    <t xml:space="preserve">College students</t>
  </si>
  <si>
    <t xml:space="preserve">712</t>
  </si>
  <si>
    <t xml:space="preserve">Cross-sectional survey; mediation analysis</t>
  </si>
  <si>
    <t xml:space="preserve">Breakfast frequency</t>
  </si>
  <si>
    <t xml:space="preserve">Sleep quality; chronotype</t>
  </si>
  <si>
    <t xml:space="preserve">Breakfast frequency linked to sleep quality only indirectly, via chronotype (32% mediated) and depressive symptoms (52.4%); direct effect not significant.</t>
  </si>
  <si>
    <t xml:space="preserve">Cross-sectional; self-report.</t>
  </si>
  <si>
    <t xml:space="preserve">Chronotype should be measured as a covariate.</t>
  </si>
  <si>
    <t xml:space="preserve">10.3390/nu15122678</t>
  </si>
  <si>
    <r>
      <rPr>
        <sz val="10"/>
        <rFont val="Arial"/>
        <family val="0"/>
        <charset val="1"/>
      </rPr>
      <t xml:space="preserve">Xian X, Wang C, Yu R, Ye M. Breakfast frequency and sleep quality in college students: the multiple mediating effects of sleep chronotypes and depressive symptoms. </t>
    </r>
    <r>
      <rPr>
        <i val="true"/>
        <sz val="10"/>
        <rFont val="Arial"/>
        <family val="0"/>
        <charset val="1"/>
      </rPr>
      <t xml:space="preserve">Nutrients</t>
    </r>
    <r>
      <rPr>
        <sz val="10"/>
        <rFont val="Arial"/>
        <family val="0"/>
        <charset val="1"/>
      </rPr>
      <t xml:space="preserve">. 2023;15(12):2678. doi:10.3390/nu15122678</t>
    </r>
  </si>
  <si>
    <t xml:space="preserve">Bohlman et al</t>
  </si>
  <si>
    <t xml:space="preserve">The effects of time-restricted eating on sleep in adults: a systematic review of randomized controlled trials</t>
  </si>
  <si>
    <t xml:space="preserve">Front Nutr</t>
  </si>
  <si>
    <t xml:space="preserve">Adults in TRE trials</t>
  </si>
  <si>
    <t xml:space="preserve">6 RCTs</t>
  </si>
  <si>
    <t xml:space="preserve">Systematic review of RCTs</t>
  </si>
  <si>
    <t xml:space="preserve">TRE (fasting ≥14 h/day) for ≥8 weeks</t>
  </si>
  <si>
    <t xml:space="preserve">Objective (3 trials with wearables) and self-reported sleep</t>
  </si>
  <si>
    <t xml:space="preserve">TRE did not typically worsen sleep. One trial improved sleep quality; 2 found lower sleep efficiency; 1 shorter sleep; 1 longer sleep latency.</t>
  </si>
  <si>
    <t xml:space="preserve">Only 6 trials; mixed outcome measures.</t>
  </si>
  <si>
    <t xml:space="preserve">TRE is unlikely to harm sleep.</t>
  </si>
  <si>
    <t xml:space="preserve">10.3389/fnut.2024.1419811</t>
  </si>
  <si>
    <r>
      <rPr>
        <sz val="10"/>
        <rFont val="Arial"/>
        <family val="0"/>
        <charset val="1"/>
      </rPr>
      <t xml:space="preserve">Bohlman C, McLaren C, Ezzati A, Vial P, Ibrahim D, Anton SD. The effects of time-restricted eating on sleep in adults: a systematic review of randomized controlled trials. </t>
    </r>
    <r>
      <rPr>
        <i val="true"/>
        <sz val="10"/>
        <rFont val="Arial"/>
        <family val="0"/>
        <charset val="1"/>
      </rPr>
      <t xml:space="preserve">Front Nutr</t>
    </r>
    <r>
      <rPr>
        <sz val="10"/>
        <rFont val="Arial"/>
        <family val="0"/>
        <charset val="1"/>
      </rPr>
      <t xml:space="preserve">. 2024;11:1419811. doi:10.3389/fnut.2024.1419811</t>
    </r>
  </si>
  <si>
    <t xml:space="preserve">Jin et al</t>
  </si>
  <si>
    <t xml:space="preserve">The effect of time-restricted eating on sleep: a systematic review and meta-analysis</t>
  </si>
  <si>
    <t xml:space="preserve">Nutr Rev</t>
  </si>
  <si>
    <t xml:space="preserve">Adults in TRE studies</t>
  </si>
  <si>
    <t xml:space="preserve">13 studies (638 participants)</t>
  </si>
  <si>
    <t xml:space="preserve">Systematic review and meta-analysis</t>
  </si>
  <si>
    <t xml:space="preserve">TRE (early and late)</t>
  </si>
  <si>
    <t xml:space="preserve">Sleep duration, PSQI, sleep onset and wake time</t>
  </si>
  <si>
    <t xml:space="preserve">Single-arm analyses: small increase in sleep duration and lower PSQI, especially with early TRE (−0.77). Controlled comparisons: no differences.</t>
  </si>
  <si>
    <t xml:space="preserve">Many single-arm studies; small effects.</t>
  </si>
  <si>
    <t xml:space="preserve">Early eating windows may be better for sleep.</t>
  </si>
  <si>
    <t xml:space="preserve">10.1093/nutrit/nuaf051</t>
  </si>
  <si>
    <r>
      <rPr>
        <sz val="10"/>
        <rFont val="Arial"/>
        <family val="0"/>
        <charset val="1"/>
      </rPr>
      <t xml:space="preserve">Jin X, Li T, Xu X, Rong S. The effect of time-restricted eating on sleep: a systematic review and meta-analysis. </t>
    </r>
    <r>
      <rPr>
        <i val="true"/>
        <sz val="10"/>
        <rFont val="Arial"/>
        <family val="0"/>
        <charset val="1"/>
      </rPr>
      <t xml:space="preserve">Nutr Rev</t>
    </r>
    <r>
      <rPr>
        <sz val="10"/>
        <rFont val="Arial"/>
        <family val="0"/>
        <charset val="1"/>
      </rPr>
      <t xml:space="preserve">. 2026;84(3):514-526. doi:10.1093/nutrit/nuaf051</t>
    </r>
  </si>
  <si>
    <t xml:space="preserve">Yong et al</t>
  </si>
  <si>
    <t xml:space="preserve">The effects of intermittent fasting on sleep quality and cardiometabolic health outcomes in adults with overweight/obesity status: a systematic review and meta-analysis of randomized controlled trials</t>
  </si>
  <si>
    <t xml:space="preserve">Adults with overweight or obesity</t>
  </si>
  <si>
    <t xml:space="preserve">18 RCTs (25 comparisons)</t>
  </si>
  <si>
    <t xml:space="preserve">Systematic review and meta-analysis of RCTs</t>
  </si>
  <si>
    <t xml:space="preserve">TRE and alternate-day modified fasting</t>
  </si>
  <si>
    <t xml:space="preserve">Sleep quality (secondary outcome)</t>
  </si>
  <si>
    <t xml:space="preserve">Greater weight loss with intermittent fasting, but no overall effect on sleep vs unrestricted eating.</t>
  </si>
  <si>
    <t xml:space="preserve">Sleep was a secondary outcome; adults with obesity only.</t>
  </si>
  <si>
    <t xml:space="preserve">Fasting length alone does not change sleep.</t>
  </si>
  <si>
    <t xml:space="preserve">10.1016/j.smrv.2025.102193</t>
  </si>
  <si>
    <r>
      <rPr>
        <sz val="10"/>
        <rFont val="Arial"/>
        <family val="0"/>
        <charset val="1"/>
      </rPr>
      <t xml:space="preserve">Yong YN, McCubbin AJ, O'Driscoll DM, St-Onge MP, Bonham MP. The effects of intermittent fasting on sleep quality and cardiometabolic health outcomes in adults with overweight/obesity status: a systematic review and meta-analysis of randomized controlled trials. </t>
    </r>
    <r>
      <rPr>
        <i val="true"/>
        <sz val="10"/>
        <rFont val="Arial"/>
        <family val="0"/>
        <charset val="1"/>
      </rPr>
      <t xml:space="preserve">Sleep Med Rev</t>
    </r>
    <r>
      <rPr>
        <sz val="10"/>
        <rFont val="Arial"/>
        <family val="0"/>
        <charset val="1"/>
      </rPr>
      <t xml:space="preserve">. 2025;84:102193. doi:10.1016/j.smrv.2025.102193</t>
    </r>
  </si>
  <si>
    <t xml:space="preserve">Lima et al</t>
  </si>
  <si>
    <t xml:space="preserve">Effects of time restricted feeding on sleep: a systematic review and meta-analysis</t>
  </si>
  <si>
    <t xml:space="preserve">Chronobiol Int</t>
  </si>
  <si>
    <t xml:space="preserve">17 countries (review)</t>
  </si>
  <si>
    <t xml:space="preserve">TRF and Ramadan fasting studies</t>
  </si>
  <si>
    <t xml:space="preserve">51 studies</t>
  </si>
  <si>
    <t xml:space="preserve">Time-restricted feeding, including Ramadan</t>
  </si>
  <si>
    <t xml:space="preserve">Self-reported and objective total sleep time; PSQI</t>
  </si>
  <si>
    <t xml:space="preserve">Overall, TRF reduced self-reported sleep and worsened PSQI. Ramadan fasting reduced sleep; non-Ramadan TRF increased sleep duration.</t>
  </si>
  <si>
    <t xml:space="preserve">Mixed designs; Ramadan studies dominate.</t>
  </si>
  <si>
    <t xml:space="preserve">Type and timing of fasting matter.</t>
  </si>
  <si>
    <t xml:space="preserve">10.1080/07420528.2025.2577859</t>
  </si>
  <si>
    <r>
      <rPr>
        <sz val="10"/>
        <rFont val="Arial"/>
        <family val="0"/>
        <charset val="1"/>
      </rPr>
      <t xml:space="preserve">Lima GS, Vallim JRDS, Marques CG, et al. Effects of time restricted feeding on sleep: a systematic review and meta-analysis. </t>
    </r>
    <r>
      <rPr>
        <i val="true"/>
        <sz val="10"/>
        <rFont val="Arial"/>
        <family val="0"/>
        <charset val="1"/>
      </rPr>
      <t xml:space="preserve">Chronobiol Int</t>
    </r>
    <r>
      <rPr>
        <sz val="10"/>
        <rFont val="Arial"/>
        <family val="0"/>
        <charset val="1"/>
      </rPr>
      <t xml:space="preserve">. 2025;42(12):1744-1764. doi:10.1080/07420528.2025.2577859</t>
    </r>
  </si>
  <si>
    <t xml:space="preserve">Blum et al</t>
  </si>
  <si>
    <t xml:space="preserve">Early time-restricted eating advances sleep in late sleepers: a pilot randomized controlled trial</t>
  </si>
  <si>
    <t xml:space="preserve">J Clin Sleep Med</t>
  </si>
  <si>
    <t xml:space="preserve">Healthy adults with late sleep timing</t>
  </si>
  <si>
    <t xml:space="preserve">15</t>
  </si>
  <si>
    <t xml:space="preserve">Pilot randomized controlled trial (1-week baseline + 2 weeks)</t>
  </si>
  <si>
    <t xml:space="preserve">Early TRE vs sleep and nutrition hygiene</t>
  </si>
  <si>
    <t xml:space="preserve">Actigraphy and sleep diaries</t>
  </si>
  <si>
    <t xml:space="preserve">Actigraphy</t>
  </si>
  <si>
    <t xml:space="preserve">Early TRE moved sleep onset about 67 min earlier (actigraphy) vs controls; no significant change in total sleep.</t>
  </si>
  <si>
    <t xml:space="preserve">Very small pilot; 2 weeks.</t>
  </si>
  <si>
    <t xml:space="preserve">Earlier eating may shift sleep earlier.</t>
  </si>
  <si>
    <t xml:space="preserve">Eating Patterns and Sleep; Wearable Device Studies</t>
  </si>
  <si>
    <t xml:space="preserve">10.5664/jcsm.10754</t>
  </si>
  <si>
    <r>
      <rPr>
        <sz val="10"/>
        <rFont val="Arial"/>
        <family val="0"/>
        <charset val="1"/>
      </rPr>
      <t xml:space="preserve">Blum DJ, Hernandez B, Zeitzer JM. Early time-restricted eating advances sleep in late sleepers: a pilot randomized controlled trial. </t>
    </r>
    <r>
      <rPr>
        <i val="true"/>
        <sz val="10"/>
        <rFont val="Arial"/>
        <family val="0"/>
        <charset val="1"/>
      </rPr>
      <t xml:space="preserve">J Clin Sleep Med</t>
    </r>
    <r>
      <rPr>
        <sz val="10"/>
        <rFont val="Arial"/>
        <family val="0"/>
        <charset val="1"/>
      </rPr>
      <t xml:space="preserve">. 2023;19(12):2097-2106. doi:10.5664/jcsm.10754</t>
    </r>
  </si>
  <si>
    <t xml:space="preserve">Effects of time-restricted eating on actigraphy-derived sleep parameters: post hoc analysis of a randomized, isocaloric feeding study</t>
  </si>
  <si>
    <t xml:space="preserve">Sleep</t>
  </si>
  <si>
    <t xml:space="preserve">Adults with obesity and prediabetes or diabetes (92% Black)</t>
  </si>
  <si>
    <t xml:space="preserve">41 randomized (38 analysed)</t>
  </si>
  <si>
    <t xml:space="preserve">Controlled feeding RCT, 12 weeks (post hoc)</t>
  </si>
  <si>
    <t xml:space="preserve">TRE 8 AM–6 PM vs usual pattern 8 AM–midnight (isocaloric)</t>
  </si>
  <si>
    <t xml:space="preserve">7-day wrist actigraphy</t>
  </si>
  <si>
    <t xml:space="preserve">TRE increased total sleep by 55 min and moved sleep midpoint 44 min earlier; no change in sleep continuity.</t>
  </si>
  <si>
    <t xml:space="preserve">Post hoc analysis; small; clinical population.</t>
  </si>
  <si>
    <t xml:space="preserve">Strong trial evidence that earlier eating can lengthen and advance sleep.</t>
  </si>
  <si>
    <t xml:space="preserve">10.1093/sleep/zsaf089</t>
  </si>
  <si>
    <r>
      <rPr>
        <sz val="10"/>
        <rFont val="Arial"/>
        <family val="0"/>
        <charset val="1"/>
      </rPr>
      <t xml:space="preserve">Duan D, Pham LV, Jun JC, et al. Effects of time-restricted eating on actigraphy-derived sleep parameters: post hoc analysis of a randomized, isocaloric feeding study. </t>
    </r>
    <r>
      <rPr>
        <i val="true"/>
        <sz val="10"/>
        <rFont val="Arial"/>
        <family val="0"/>
        <charset val="1"/>
      </rPr>
      <t xml:space="preserve">Sleep</t>
    </r>
    <r>
      <rPr>
        <sz val="10"/>
        <rFont val="Arial"/>
        <family val="0"/>
        <charset val="1"/>
      </rPr>
      <t xml:space="preserve">. 2025;48(9):zsaf089. doi:10.1093/sleep/zsaf089</t>
    </r>
  </si>
  <si>
    <t xml:space="preserve">Peters et al</t>
  </si>
  <si>
    <t xml:space="preserve">Early but not late time-restricted eating improves an actigraphy-estimated sleep quality in women with overweight or obesity: secondary analysis of the crossover ChronoFast trial</t>
  </si>
  <si>
    <t xml:space="preserve">Germany*</t>
  </si>
  <si>
    <t xml:space="preserve">Women with overweight or obesity</t>
  </si>
  <si>
    <t xml:space="preserve">31</t>
  </si>
  <si>
    <t xml:space="preserve">Randomized crossover trial (2 × 2 weeks; secondary analysis)</t>
  </si>
  <si>
    <t xml:space="preserve">Early TRE (8 AM–4 PM) vs late TRE (1–9 PM)</t>
  </si>
  <si>
    <t xml:space="preserve">Blinded actigraphy; PSQI</t>
  </si>
  <si>
    <t xml:space="preserve">Early TRE improved sleep efficiency, fragmentation and awakening length vs baseline; late TRE did not. No between-schedule difference; PSQI unchanged.</t>
  </si>
  <si>
    <t xml:space="preserve">Short; secondary analysis; women with obesity only.</t>
  </si>
  <si>
    <t xml:space="preserve">Women-only evidence that eating earlier may improve objective sleep.</t>
  </si>
  <si>
    <t xml:space="preserve">Eating Patterns and Sleep; Women-Specific Considerations; Wearable Device Studies</t>
  </si>
  <si>
    <t xml:space="preserve">10.3389/fnut.2026.1823259</t>
  </si>
  <si>
    <r>
      <rPr>
        <sz val="10"/>
        <rFont val="Arial"/>
        <family val="0"/>
        <charset val="1"/>
      </rPr>
      <t xml:space="preserve">Peters B, Jokisch J, Schwarz J, et al. Early but not late time-restricted eating improves an actigraphy-estimated sleep quality in women with overweight or obesity: secondary analysis of the crossover ChronoFast trial. </t>
    </r>
    <r>
      <rPr>
        <i val="true"/>
        <sz val="10"/>
        <rFont val="Arial"/>
        <family val="0"/>
        <charset val="1"/>
      </rPr>
      <t xml:space="preserve">Front Nutr</t>
    </r>
    <r>
      <rPr>
        <sz val="10"/>
        <rFont val="Arial"/>
        <family val="0"/>
        <charset val="1"/>
      </rPr>
      <t xml:space="preserve">. 2026;13:1823259. doi:10.3389/fnut.2026.1823259</t>
    </r>
  </si>
  <si>
    <t xml:space="preserve">Lin et al</t>
  </si>
  <si>
    <t xml:space="preserve">Time-restricted eating versus daily calorie restriction: effect on sleep in adults with obesity over 12 months</t>
  </si>
  <si>
    <t xml:space="preserve">Adults with obesity</t>
  </si>
  <si>
    <t xml:space="preserve">90</t>
  </si>
  <si>
    <t xml:space="preserve">RCT, 12 months (TRE vs calorie restriction vs control)</t>
  </si>
  <si>
    <t xml:space="preserve">8-h TRE (noon–8 PM)</t>
  </si>
  <si>
    <t xml:space="preserve">Self-reported sleep quality, duration, insomnia</t>
  </si>
  <si>
    <t xml:space="preserve">Similar weight loss with TRE and calorie restriction; no change in self-reported sleep in either group vs control.</t>
  </si>
  <si>
    <t xml:space="preserve">Self-reported sleep only; late eating window.</t>
  </si>
  <si>
    <t xml:space="preserve">A late eating window did not change sleep over a year.</t>
  </si>
  <si>
    <t xml:space="preserve">10.3390/nu16203528</t>
  </si>
  <si>
    <r>
      <rPr>
        <sz val="10"/>
        <rFont val="Arial"/>
        <family val="0"/>
        <charset val="1"/>
      </rPr>
      <t xml:space="preserve">Lin S, Cienfuegos S, Ezpeleta M, et al. Time-restricted eating versus daily calorie restriction: effect on sleep in adults with obesity over 12 months. </t>
    </r>
    <r>
      <rPr>
        <i val="true"/>
        <sz val="10"/>
        <rFont val="Arial"/>
        <family val="0"/>
        <charset val="1"/>
      </rPr>
      <t xml:space="preserve">Nutrients</t>
    </r>
    <r>
      <rPr>
        <sz val="10"/>
        <rFont val="Arial"/>
        <family val="0"/>
        <charset val="1"/>
      </rPr>
      <t xml:space="preserve">. 2024;16(20):3528. doi:10.3390/nu16203528</t>
    </r>
  </si>
  <si>
    <t xml:space="preserve">Kerkeni et al</t>
  </si>
  <si>
    <t xml:space="preserve">Ramadan fasting observance is associated with decreased sleep duration, increased daytime sleepiness and insomnia symptoms among student-athletes</t>
  </si>
  <si>
    <t xml:space="preserve">Sleep Med</t>
  </si>
  <si>
    <t xml:space="preserve">Tunisia*</t>
  </si>
  <si>
    <t xml:space="preserve">Semi-professional student-athletes</t>
  </si>
  <si>
    <t xml:space="preserve">25</t>
  </si>
  <si>
    <t xml:space="preserve">Observational, before and during Ramadan</t>
  </si>
  <si>
    <t xml:space="preserve">Longitudinal / cohort</t>
  </si>
  <si>
    <t xml:space="preserve">Ramadan fasting (eating at night)</t>
  </si>
  <si>
    <t xml:space="preserve">Wrist actigraphy; ESS, ISI, PSQI</t>
  </si>
  <si>
    <t xml:space="preserve">Sleep onset delayed about 2.5 h; sleep duration fell in the second half of Ramadan; insomnia and sleepiness increased.</t>
  </si>
  <si>
    <t xml:space="preserve">Small; athletes; no control group.</t>
  </si>
  <si>
    <t xml:space="preserve">Night-time eating shifts and shortens sleep.</t>
  </si>
  <si>
    <t xml:space="preserve">10.1016/j.sleep.2024.08.012</t>
  </si>
  <si>
    <r>
      <rPr>
        <sz val="10"/>
        <rFont val="Arial"/>
        <family val="0"/>
        <charset val="1"/>
      </rPr>
      <t xml:space="preserve">Kerkeni M, Trabelsi K, Kerkeni M, et al. Ramadan fasting observance is associated with decreased sleep duration, increased daytime sleepiness and insomnia symptoms among student-athletes. </t>
    </r>
    <r>
      <rPr>
        <i val="true"/>
        <sz val="10"/>
        <rFont val="Arial"/>
        <family val="0"/>
        <charset val="1"/>
      </rPr>
      <t xml:space="preserve">Sleep Med</t>
    </r>
    <r>
      <rPr>
        <sz val="10"/>
        <rFont val="Arial"/>
        <family val="0"/>
        <charset val="1"/>
      </rPr>
      <t xml:space="preserve">. 2024;122:185-191. doi:10.1016/j.sleep.2024.08.012</t>
    </r>
  </si>
  <si>
    <t xml:space="preserve">Hoopes et al</t>
  </si>
  <si>
    <t xml:space="preserve">Temporal associations between nightly sleep with daytime eating and activity levels in free-living young adults</t>
  </si>
  <si>
    <t xml:space="preserve">Healthy young adults</t>
  </si>
  <si>
    <t xml:space="preserve">63</t>
  </si>
  <si>
    <t xml:space="preserve">14-day free-living study (multilevel models)</t>
  </si>
  <si>
    <t xml:space="preserve">Daily diary / repeated measures</t>
  </si>
  <si>
    <t xml:space="preserve">Photo-assisted diet records: eating onset/offset, window, quality</t>
  </si>
  <si>
    <t xml:space="preserve">Wrist actigraphy</t>
  </si>
  <si>
    <t xml:space="preserve">Longer sleep → shorter next-day eating window; later sleep/wake → later first and last meals. Sleep predicted next-day eating more than the reverse.</t>
  </si>
  <si>
    <t xml:space="preserve">Young, healthy sample; 2 weeks.</t>
  </si>
  <si>
    <t xml:space="preserve">Model for night-to-night analysis; shows sleep drives eating.</t>
  </si>
  <si>
    <t xml:space="preserve">Eating Patterns and Sleep; Wearable Device Studies; Gaps in the Literature</t>
  </si>
  <si>
    <t xml:space="preserve">10.1093/sleep/zsad123</t>
  </si>
  <si>
    <r>
      <rPr>
        <sz val="10"/>
        <rFont val="Arial"/>
        <family val="0"/>
        <charset val="1"/>
      </rPr>
      <t xml:space="preserve">Hoopes EK, Brewer B, Robson SM, et al. Temporal associations between nightly sleep with daytime eating and activity levels in free-living young adults. </t>
    </r>
    <r>
      <rPr>
        <i val="true"/>
        <sz val="10"/>
        <rFont val="Arial"/>
        <family val="0"/>
        <charset val="1"/>
      </rPr>
      <t xml:space="preserve">Sleep</t>
    </r>
    <r>
      <rPr>
        <sz val="10"/>
        <rFont val="Arial"/>
        <family val="0"/>
        <charset val="1"/>
      </rPr>
      <t xml:space="preserve">. 2023;46(11):zsad123. doi:10.1093/sleep/zsad123</t>
    </r>
  </si>
  <si>
    <t xml:space="preserve">Barragán et al</t>
  </si>
  <si>
    <t xml:space="preserve">Changes in eating patterns in response to chronic insufficient sleep and their associations with diet quality: a randomized trial</t>
  </si>
  <si>
    <t xml:space="preserve">Not stated (authors in Spain and USA)</t>
  </si>
  <si>
    <t xml:space="preserve">Adults</t>
  </si>
  <si>
    <t xml:space="preserve">65</t>
  </si>
  <si>
    <t xml:space="preserve">Randomized crossover trial (2 × 6 weeks)</t>
  </si>
  <si>
    <t xml:space="preserve">Food records: eating frequency, midpoint, window</t>
  </si>
  <si>
    <t xml:space="preserve">Adequate sleep vs 1.5 h/night restriction</t>
  </si>
  <si>
    <t xml:space="preserve">Sleep restriction increased eating frequency. Greater variability in eating midpoint linked to worse diet quality under sleep restriction.</t>
  </si>
  <si>
    <t xml:space="preserve">Food records on only 3 days per period.</t>
  </si>
  <si>
    <t xml:space="preserve">Shows sleep changes eating patterns (two-way relationship).</t>
  </si>
  <si>
    <t xml:space="preserve">10.5664/jcsm.10696</t>
  </si>
  <si>
    <r>
      <rPr>
        <sz val="10"/>
        <rFont val="Arial"/>
        <family val="0"/>
        <charset val="1"/>
      </rPr>
      <t xml:space="preserve">Barragán R, Zuraikat FM, Tam V, RoyChoudhury A, St-Onge MP. Changes in eating patterns in response to chronic insufficient sleep and their associations with diet quality: a randomized trial. </t>
    </r>
    <r>
      <rPr>
        <i val="true"/>
        <sz val="10"/>
        <rFont val="Arial"/>
        <family val="0"/>
        <charset val="1"/>
      </rPr>
      <t xml:space="preserve">J Clin Sleep Med</t>
    </r>
    <r>
      <rPr>
        <sz val="10"/>
        <rFont val="Arial"/>
        <family val="0"/>
        <charset val="1"/>
      </rPr>
      <t xml:space="preserve">. 2023;19(11):1867-1875. doi:10.5664/jcsm.10696</t>
    </r>
  </si>
  <si>
    <t xml:space="preserve">Tajiri et al</t>
  </si>
  <si>
    <t xml:space="preserve">Effects of sleep restriction on food intake and appetite under free-living conditions: a randomized crossover trial</t>
  </si>
  <si>
    <t xml:space="preserve">Appetite</t>
  </si>
  <si>
    <t xml:space="preserve">Young adults</t>
  </si>
  <si>
    <t xml:space="preserve">24</t>
  </si>
  <si>
    <t xml:space="preserve">Randomized crossover trial (3 days of 5 h vs 8 h sleep)</t>
  </si>
  <si>
    <t xml:space="preserve">Food intake and snacks (daytime and nighttime)</t>
  </si>
  <si>
    <t xml:space="preserve">Sleep restriction condition</t>
  </si>
  <si>
    <t xml:space="preserve">Sleep restriction increased hunger and energy and carbohydrate intake from snacks; total daily intake did not change.</t>
  </si>
  <si>
    <t xml:space="preserve">Short; young, lean adults.</t>
  </si>
  <si>
    <t xml:space="preserve">Short sleep may shift eating toward snacks.</t>
  </si>
  <si>
    <t xml:space="preserve">10.1016/j.appet.2023.106998</t>
  </si>
  <si>
    <r>
      <rPr>
        <sz val="10"/>
        <rFont val="Arial"/>
        <family val="0"/>
        <charset val="1"/>
      </rPr>
      <t xml:space="preserve">Tajiri E, Yoshimura E, Tobina T, et al. Effects of sleep restriction on food intake and appetite under free-living conditions: a randomized crossover trial. </t>
    </r>
    <r>
      <rPr>
        <i val="true"/>
        <sz val="10"/>
        <rFont val="Arial"/>
        <family val="0"/>
        <charset val="1"/>
      </rPr>
      <t xml:space="preserve">Appetite</t>
    </r>
    <r>
      <rPr>
        <sz val="10"/>
        <rFont val="Arial"/>
        <family val="0"/>
        <charset val="1"/>
      </rPr>
      <t xml:space="preserve">. 2023;189:106998. doi:10.1016/j.appet.2023.106998</t>
    </r>
  </si>
  <si>
    <t xml:space="preserve">Korman et al</t>
  </si>
  <si>
    <t xml:space="preserve">Relaxation of social time pressure reveals tight coupling between daily sleep and eating behavior and extends the interval between last and first meal</t>
  </si>
  <si>
    <t xml:space="preserve">Global (online survey)</t>
  </si>
  <si>
    <t xml:space="preserve">Adults who worked or studied</t>
  </si>
  <si>
    <t xml:space="preserve">5747</t>
  </si>
  <si>
    <t xml:space="preserve">Survey comparing before vs during COVID-19 restrictions</t>
  </si>
  <si>
    <t xml:space="preserve">Fasting duration (last to first meal); meal timing</t>
  </si>
  <si>
    <t xml:space="preserve">Sleep timing and duration</t>
  </si>
  <si>
    <t xml:space="preserve">Relaxed social schedules lengthened the overnight fast by 42 min (12:16 to 12:57) and delayed it by 34 min; fasting and sleep shifted together.</t>
  </si>
  <si>
    <t xml:space="preserve">Self-report; recall of pre-pandemic habits.</t>
  </si>
  <si>
    <t xml:space="preserve">Eating and sleep timing are tightly coupled.</t>
  </si>
  <si>
    <t xml:space="preserve">10.1093/sleep/zsaf247</t>
  </si>
  <si>
    <r>
      <rPr>
        <sz val="10"/>
        <rFont val="Arial"/>
        <family val="0"/>
        <charset val="1"/>
      </rPr>
      <t xml:space="preserve">Korman M, Fleischmann C, Tkachev V, et al. Relaxation of social time pressure reveals tight coupling between daily sleep and eating behavior and extends the interval between last and first meal. </t>
    </r>
    <r>
      <rPr>
        <i val="true"/>
        <sz val="10"/>
        <rFont val="Arial"/>
        <family val="0"/>
        <charset val="1"/>
      </rPr>
      <t xml:space="preserve">Sleep</t>
    </r>
    <r>
      <rPr>
        <sz val="10"/>
        <rFont val="Arial"/>
        <family val="0"/>
        <charset val="1"/>
      </rPr>
      <t xml:space="preserve">. 2025;48(12):zsaf247. doi:10.1093/sleep/zsaf247</t>
    </r>
  </si>
  <si>
    <t xml:space="preserve">Grimaldi et al</t>
  </si>
  <si>
    <t xml:space="preserve">Sleep-aligned extended overnight fasting improves nighttime and daytime cardiometabolic function</t>
  </si>
  <si>
    <t xml:space="preserve">Arterioscler Thromb Vasc Biol</t>
  </si>
  <si>
    <t xml:space="preserve">Adults with overweight or obesity aged 36–75</t>
  </si>
  <si>
    <t xml:space="preserve">39</t>
  </si>
  <si>
    <t xml:space="preserve">Randomized parallel-arm trial, 7.5 weeks</t>
  </si>
  <si>
    <t xml:space="preserve">Overnight fast extended to 13–16 h (last meal ≥3 h before sleep) vs habitual 11–13 h</t>
  </si>
  <si>
    <t xml:space="preserve">Aligned with habitual sleep time</t>
  </si>
  <si>
    <t xml:space="preserve">Night-time heart rate, HRV, blood pressure dipping</t>
  </si>
  <si>
    <t xml:space="preserve">Extended overnight fast lowered night-time heart rate, raised HRV and improved diastolic blood pressure dipping; insulin sensitivity (Matsuda) did not change.</t>
  </si>
  <si>
    <t xml:space="preserve">Small; middle-aged/older adults with overweight or obesity.</t>
  </si>
  <si>
    <t xml:space="preserve">Strongest evidence that an earlier last meal improves overnight recovery → basis for H1.</t>
  </si>
  <si>
    <t xml:space="preserve">Eating Patterns and Physiological Recovery; Gaps in the Literature</t>
  </si>
  <si>
    <t xml:space="preserve">10.1161/ATVBAHA.125.323355</t>
  </si>
  <si>
    <r>
      <rPr>
        <sz val="10"/>
        <rFont val="Arial"/>
        <family val="0"/>
        <charset val="1"/>
      </rPr>
      <t xml:space="preserve">Grimaldi D, Reid KJ, Abbott SM, Knutson KL, Zee PC. Sleep-aligned extended overnight fasting improves nighttime and daytime cardiometabolic function. </t>
    </r>
    <r>
      <rPr>
        <i val="true"/>
        <sz val="10"/>
        <rFont val="Arial"/>
        <family val="0"/>
        <charset val="1"/>
      </rPr>
      <t xml:space="preserve">Arterioscler Thromb Vasc Biol</t>
    </r>
    <r>
      <rPr>
        <sz val="10"/>
        <rFont val="Arial"/>
        <family val="0"/>
        <charset val="1"/>
      </rPr>
      <t xml:space="preserve">. 2026;46(4):e323355. doi:10.1161/atvbaha.125.323355</t>
    </r>
  </si>
  <si>
    <t xml:space="preserve">Chellappa et al</t>
  </si>
  <si>
    <t xml:space="preserve">Daytime eating during simulated night work mitigates changes in cardiovascular risk factors: secondary analyses of a randomized controlled trial</t>
  </si>
  <si>
    <t xml:space="preserve">Nat Commun</t>
  </si>
  <si>
    <t xml:space="preserve">Healthy non-shift workers</t>
  </si>
  <si>
    <t xml:space="preserve">Randomized controlled trial (secondary analysis), simulated night work</t>
  </si>
  <si>
    <t xml:space="preserve">Night-and-day eating vs daytime-only eating</t>
  </si>
  <si>
    <t xml:space="preserve">Mistimed sleep (simulated night work)</t>
  </si>
  <si>
    <t xml:space="preserve">pNN50, RMSSD, LF/HF</t>
  </si>
  <si>
    <t xml:space="preserve">Night-and-day eating: pNN50 −25.7%, RMSSD −14.3%, LF/HF +5.5%. Daytime-only eating: no significant change.</t>
  </si>
  <si>
    <t xml:space="preserve">Laboratory; small; secondary analysis.</t>
  </si>
  <si>
    <t xml:space="preserve">Night eating lowers vagal HRV when the body clock is disrupted.</t>
  </si>
  <si>
    <t xml:space="preserve">10.1038/s41467-025-57846-y</t>
  </si>
  <si>
    <r>
      <rPr>
        <sz val="10"/>
        <rFont val="Arial"/>
        <family val="0"/>
        <charset val="1"/>
      </rPr>
      <t xml:space="preserve">Chellappa SL, Gao L, Qian J, et al. Daytime eating during simulated night work mitigates changes in cardiovascular risk factors: secondary analyses of a randomized controlled trial. </t>
    </r>
    <r>
      <rPr>
        <i val="true"/>
        <sz val="10"/>
        <rFont val="Arial"/>
        <family val="0"/>
        <charset val="1"/>
      </rPr>
      <t xml:space="preserve">Nat Commun</t>
    </r>
    <r>
      <rPr>
        <sz val="10"/>
        <rFont val="Arial"/>
        <family val="0"/>
        <charset val="1"/>
      </rPr>
      <t xml:space="preserve">. 2025;16(1):3186. doi:10.1038/s41467-025-57846-y</t>
    </r>
  </si>
  <si>
    <t xml:space="preserve">Qian et al</t>
  </si>
  <si>
    <t xml:space="preserve">Daytime eating prevents mood vulnerability in night work</t>
  </si>
  <si>
    <t xml:space="preserve">Proc Natl Acad Sci U S A</t>
  </si>
  <si>
    <t xml:space="preserve">Healthy adults (12 men, 7 women)</t>
  </si>
  <si>
    <t xml:space="preserve">19</t>
  </si>
  <si>
    <t xml:space="preserve">Randomized trial, 14-day simulated night work</t>
  </si>
  <si>
    <t xml:space="preserve">Daytime-and-nighttime vs daytime-only eating</t>
  </si>
  <si>
    <t xml:space="preserve">Night eating raised depression-like mood by 26.2% and anxiety-like mood by 16.1%; not seen with daytime-only eating.</t>
  </si>
  <si>
    <t xml:space="preserve">Laboratory; small; mood rather than sleep or HRV.</t>
  </si>
  <si>
    <t xml:space="preserve">Optional mood link if a mental health angle is added.</t>
  </si>
  <si>
    <t xml:space="preserve">Eating Patterns and Physiological Recovery</t>
  </si>
  <si>
    <t xml:space="preserve">10.1073/pnas.2206348119</t>
  </si>
  <si>
    <r>
      <rPr>
        <sz val="10"/>
        <rFont val="Arial"/>
        <family val="0"/>
        <charset val="1"/>
      </rPr>
      <t xml:space="preserve">Qian J, Vujovic N, Nguyen H, et al. Daytime eating prevents mood vulnerability in night work. </t>
    </r>
    <r>
      <rPr>
        <i val="true"/>
        <sz val="10"/>
        <rFont val="Arial"/>
        <family val="0"/>
        <charset val="1"/>
      </rPr>
      <t xml:space="preserve">Proc Natl Acad Sci U S A</t>
    </r>
    <r>
      <rPr>
        <sz val="10"/>
        <rFont val="Arial"/>
        <family val="0"/>
        <charset val="1"/>
      </rPr>
      <t xml:space="preserve">. 2022;119(38):e2206348119. doi:10.1073/pnas.2206348119</t>
    </r>
  </si>
  <si>
    <t xml:space="preserve">Hammoud et al</t>
  </si>
  <si>
    <t xml:space="preserve">Impact of Ramadan intermittent fasting on the heart rate variability and cardiovascular parameters of patients with controlled hypertension</t>
  </si>
  <si>
    <t xml:space="preserve">J Nutr Metab</t>
  </si>
  <si>
    <t xml:space="preserve">Lebanon*</t>
  </si>
  <si>
    <t xml:space="preserve">Patients with controlled hypertension</t>
  </si>
  <si>
    <t xml:space="preserve">58</t>
  </si>
  <si>
    <t xml:space="preserve">Prospective cohort during and after Ramadan</t>
  </si>
  <si>
    <t xml:space="preserve">Ramadan intermittent fasting</t>
  </si>
  <si>
    <t xml:space="preserve">HRV morning, afternoon, evening; blood pressure</t>
  </si>
  <si>
    <t xml:space="preserve">Afternoon HRV higher during Ramadan; blood pressure and lipids unchanged; blood glucose higher.</t>
  </si>
  <si>
    <t xml:space="preserve">Clinical population; HRV measured at set times, not overnight.</t>
  </si>
  <si>
    <t xml:space="preserve">Fasting may change HRV, but results are mixed.</t>
  </si>
  <si>
    <t xml:space="preserve">10.1155/2021/6610455</t>
  </si>
  <si>
    <r>
      <rPr>
        <sz val="10"/>
        <rFont val="Arial"/>
        <family val="0"/>
        <charset val="1"/>
      </rPr>
      <t xml:space="preserve">Hammoud S, Saad I, Karam R, Abou Jaoude F, van den Bemt BJF, Kurdi M. Impact of Ramadan intermittent fasting on the heart rate variability and cardiovascular parameters of patients with controlled hypertension. </t>
    </r>
    <r>
      <rPr>
        <i val="true"/>
        <sz val="10"/>
        <rFont val="Arial"/>
        <family val="0"/>
        <charset val="1"/>
      </rPr>
      <t xml:space="preserve">J Nutr Metab</t>
    </r>
    <r>
      <rPr>
        <sz val="10"/>
        <rFont val="Arial"/>
        <family val="0"/>
        <charset val="1"/>
      </rPr>
      <t xml:space="preserve">. 2021;2021:6610455. doi:10.1155/2021/6610455</t>
    </r>
  </si>
  <si>
    <t xml:space="preserve">Strüven et al</t>
  </si>
  <si>
    <t xml:space="preserve">Impact of intermittent fasting on sleep physiology: a prospective observational study using smartwatch technology</t>
  </si>
  <si>
    <t xml:space="preserve">Medicine (Baltimore)</t>
  </si>
  <si>
    <t xml:space="preserve">Healthy adults (mean age 30)</t>
  </si>
  <si>
    <t xml:space="preserve">35</t>
  </si>
  <si>
    <t xml:space="preserve">Prospective observational pre–post (3-day baseline + 7 days TRE)</t>
  </si>
  <si>
    <t xml:space="preserve">Single-arm / pre–post</t>
  </si>
  <si>
    <t xml:space="preserve">16:8 TRE</t>
  </si>
  <si>
    <t xml:space="preserve">Smartwatch sleep stages, latency, awakenings; PSQI</t>
  </si>
  <si>
    <t xml:space="preserve">Smartwatch heart rate</t>
  </si>
  <si>
    <t xml:space="preserve">Withings ScanWatch</t>
  </si>
  <si>
    <t xml:space="preserve">No significant change in sleep duration, stages, latency, awakenings, steps or heart rate; trend toward slightly less deep sleep.</t>
  </si>
  <si>
    <t xml:space="preserve">Only 7 days; no control group.</t>
  </si>
  <si>
    <t xml:space="preserve">Consumer device study showing short TRE does not disrupt sleep.</t>
  </si>
  <si>
    <t xml:space="preserve">Eating Patterns and Physiological Recovery; Wearable Device Studies</t>
  </si>
  <si>
    <t xml:space="preserve">10.1097/MD.0000000000043800</t>
  </si>
  <si>
    <r>
      <rPr>
        <sz val="10"/>
        <rFont val="Arial"/>
        <family val="0"/>
        <charset val="1"/>
      </rPr>
      <t xml:space="preserve">Strüven A, Schlichtiger J, Hoppe JM, Thiessen I, Kellnar A, Stremmel C. Impact of intermittent fasting on sleep physiology: a prospective observational study using smartwatch technology. </t>
    </r>
    <r>
      <rPr>
        <i val="true"/>
        <sz val="10"/>
        <rFont val="Arial"/>
        <family val="0"/>
        <charset val="1"/>
      </rPr>
      <t xml:space="preserve">Medicine (Baltimore)</t>
    </r>
    <r>
      <rPr>
        <sz val="10"/>
        <rFont val="Arial"/>
        <family val="0"/>
        <charset val="1"/>
      </rPr>
      <t xml:space="preserve">. 2025;104(32):e43800. doi:10.1097/md.0000000000043800</t>
    </r>
  </si>
  <si>
    <t xml:space="preserve">Zhang et al</t>
  </si>
  <si>
    <t xml:space="preserve">Effects of sleep deprivation on heart rate variability: a systematic review and meta-analysis</t>
  </si>
  <si>
    <t xml:space="preserve">Front Neurol</t>
  </si>
  <si>
    <t xml:space="preserve">Adults in sleep deprivation RCTs</t>
  </si>
  <si>
    <t xml:space="preserve">11 RCTs (549 participants)</t>
  </si>
  <si>
    <t xml:space="preserve">Sleep deprivation</t>
  </si>
  <si>
    <t xml:space="preserve">SDNN, RMSSD, LF, HF, LF/HF</t>
  </si>
  <si>
    <t xml:space="preserve">Sleep deprivation lowered RMSSD and raised LF and LF/HF; SDNN and HF changes not significant.</t>
  </si>
  <si>
    <t xml:space="preserve">Varied HRV methods and deprivation lengths.</t>
  </si>
  <si>
    <t xml:space="preserve">Sleep is a pathway from eating to HRV.</t>
  </si>
  <si>
    <t xml:space="preserve">Sleep and Physiological Recovery</t>
  </si>
  <si>
    <t xml:space="preserve">10.3389/fneur.2025.1556784</t>
  </si>
  <si>
    <r>
      <rPr>
        <sz val="10"/>
        <rFont val="Arial"/>
        <family val="0"/>
        <charset val="1"/>
      </rPr>
      <t xml:space="preserve">Zhang S, Niu X, Ma J, Wei X, Zhang J, Du W. Effects of sleep deprivation on heart rate variability: a systematic review and meta-analysis. </t>
    </r>
    <r>
      <rPr>
        <i val="true"/>
        <sz val="10"/>
        <rFont val="Arial"/>
        <family val="0"/>
        <charset val="1"/>
      </rPr>
      <t xml:space="preserve">Front Neurol</t>
    </r>
    <r>
      <rPr>
        <sz val="10"/>
        <rFont val="Arial"/>
        <family val="0"/>
        <charset val="1"/>
      </rPr>
      <t xml:space="preserve">. 2025;16:1556784. doi:10.3389/fneur.2025.1556784</t>
    </r>
  </si>
  <si>
    <t xml:space="preserve">Darzi et al</t>
  </si>
  <si>
    <t xml:space="preserve">Short sleep duration measured by smartwatch is associated with elevated resting heart rate and reduced nocturnal oxygen saturation: insights from Heartbeat</t>
  </si>
  <si>
    <t xml:space="preserve">J Cardiovasc Electrophysiol</t>
  </si>
  <si>
    <t xml:space="preserve">HEARTBEAT study participants</t>
  </si>
  <si>
    <t xml:space="preserve">336 (168 per group, matched)</t>
  </si>
  <si>
    <t xml:space="preserve">Cross-sectional, propensity-matched</t>
  </si>
  <si>
    <t xml:space="preserve">Smartwatch sleep duration (≤6 h vs &gt;6 h)</t>
  </si>
  <si>
    <t xml:space="preserve">Resting heart rate; nocturnal SpO₂</t>
  </si>
  <si>
    <t xml:space="preserve">Samsung Galaxy Watch</t>
  </si>
  <si>
    <t xml:space="preserve">Short sleepers had higher resting heart rate (61.0 vs 57.7 bpm) and lower maximum night-time SpO₂.</t>
  </si>
  <si>
    <t xml:space="preserve">Cross-sectional; patient cohort.</t>
  </si>
  <si>
    <t xml:space="preserve">Consumer-watch evidence linking short sleep to higher RHR.</t>
  </si>
  <si>
    <t xml:space="preserve">Sleep and Physiological Recovery; Wearable Device Studies</t>
  </si>
  <si>
    <t xml:space="preserve">10.1111/jce.70358</t>
  </si>
  <si>
    <r>
      <rPr>
        <sz val="10"/>
        <rFont val="Arial"/>
        <family val="0"/>
        <charset val="1"/>
      </rPr>
      <t xml:space="preserve">Darzi AE, Khoury CE, Massad CM, et al. Short sleep duration measured by smartwatch is associated with elevated resting heart rate and reduced nocturnal oxygen saturation: insights from Heartbeat. </t>
    </r>
    <r>
      <rPr>
        <i val="true"/>
        <sz val="10"/>
        <rFont val="Arial"/>
        <family val="0"/>
        <charset val="1"/>
      </rPr>
      <t xml:space="preserve">J Cardiovasc Electrophysiol</t>
    </r>
    <r>
      <rPr>
        <sz val="10"/>
        <rFont val="Arial"/>
        <family val="0"/>
        <charset val="1"/>
      </rPr>
      <t xml:space="preserve">. 2026;37(7):1514-1521. doi:10.1111/jce.70358</t>
    </r>
  </si>
  <si>
    <t xml:space="preserve">Windred et al</t>
  </si>
  <si>
    <t xml:space="preserve">Sleep regularity is a stronger predictor of mortality risk than sleep duration: a prospective cohort study</t>
  </si>
  <si>
    <t xml:space="preserve">UK</t>
  </si>
  <si>
    <t xml:space="preserve">UK Biobank participants (mean age 63)</t>
  </si>
  <si>
    <t xml:space="preserve">60 977</t>
  </si>
  <si>
    <t xml:space="preserve">Prospective cohort (accelerometer)</t>
  </si>
  <si>
    <t xml:space="preserve">Sleep Regularity Index; sleep duration</t>
  </si>
  <si>
    <t xml:space="preserve">Research accelerometer</t>
  </si>
  <si>
    <t xml:space="preserve">More regular sleep → 20%–48% lower all-cause mortality; regularity a stronger predictor than duration.</t>
  </si>
  <si>
    <t xml:space="preserve">Older adults; accelerometry at a single time point.</t>
  </si>
  <si>
    <t xml:space="preserve">Supports measuring sleep regularity, not just duration.</t>
  </si>
  <si>
    <t xml:space="preserve">10.1093/sleep/zsad253</t>
  </si>
  <si>
    <r>
      <rPr>
        <sz val="10"/>
        <rFont val="Arial"/>
        <family val="0"/>
        <charset val="1"/>
      </rPr>
      <t xml:space="preserve">Windred DP, Burns AC, Lane JM, et al. Sleep regularity is a stronger predictor of mortality risk than sleep duration: a prospective cohort study. </t>
    </r>
    <r>
      <rPr>
        <i val="true"/>
        <sz val="10"/>
        <rFont val="Arial"/>
        <family val="0"/>
        <charset val="1"/>
      </rPr>
      <t xml:space="preserve">Sleep</t>
    </r>
    <r>
      <rPr>
        <sz val="10"/>
        <rFont val="Arial"/>
        <family val="0"/>
        <charset val="1"/>
      </rPr>
      <t xml:space="preserve">. 2024;47(1):zsad253. doi:10.1093/sleep/zsad253</t>
    </r>
  </si>
  <si>
    <t xml:space="preserve">Holmes et al</t>
  </si>
  <si>
    <t xml:space="preserve">Four core circadian behaviors that improve cardiorespiratory fitness through consistent sleep</t>
  </si>
  <si>
    <t xml:space="preserve">WHOOP members (country not stated in abstract)</t>
  </si>
  <si>
    <t xml:space="preserve">Healthy adult WHOOP users</t>
  </si>
  <si>
    <t xml:space="preserve">38 838</t>
  </si>
  <si>
    <t xml:space="preserve">Pre–post quasi-experiment with matched controls (31-day challenge)</t>
  </si>
  <si>
    <t xml:space="preserve">TRE as 1 of 4 habits (with morning light, Zone 2 exercise, breathwork)</t>
  </si>
  <si>
    <t xml:space="preserve">Sleep consistency, duration</t>
  </si>
  <si>
    <t xml:space="preserve">Resting heart rate, HRV</t>
  </si>
  <si>
    <t xml:space="preserve">WHOOP 3.0 and 4.0</t>
  </si>
  <si>
    <t xml:space="preserve">Sleep consistency, resting heart rate and HRV improved vs matched controls; sleep consistency partly explained the HRV gains.</t>
  </si>
  <si>
    <t xml:space="preserve">TRE effect cannot be separated from other habits; lead author works for WHOOP.</t>
  </si>
  <si>
    <t xml:space="preserve">Large consumer-wearable study linking eating window, sleep consistency and HRV.</t>
  </si>
  <si>
    <t xml:space="preserve">10.1093/sleep/zsaf318</t>
  </si>
  <si>
    <r>
      <rPr>
        <sz val="10"/>
        <rFont val="Arial"/>
        <family val="0"/>
        <charset val="1"/>
      </rPr>
      <t xml:space="preserve">Holmes KE, Kim J, Fielding F, Zeitzer JM, von Hippel W. Four core circadian behaviors that improve cardiorespiratory fitness through consistent sleep. </t>
    </r>
    <r>
      <rPr>
        <i val="true"/>
        <sz val="10"/>
        <rFont val="Arial"/>
        <family val="0"/>
        <charset val="1"/>
      </rPr>
      <t xml:space="preserve">Sleep</t>
    </r>
    <r>
      <rPr>
        <sz val="10"/>
        <rFont val="Arial"/>
        <family val="0"/>
        <charset val="1"/>
      </rPr>
      <t xml:space="preserve">. 2026;49(2):zsaf318. doi:10.1093/sleep/zsaf318</t>
    </r>
  </si>
  <si>
    <t xml:space="preserve">Tucker et al</t>
  </si>
  <si>
    <t xml:space="preserve">The effect of the menstrual cycle on energy intake: a systematic review and meta-analysis</t>
  </si>
  <si>
    <t xml:space="preserve">Healthy-weight women aged 18–45</t>
  </si>
  <si>
    <t xml:space="preserve">15 datasets (330 women)</t>
  </si>
  <si>
    <t xml:space="preserve">Energy intake by cycle phase</t>
  </si>
  <si>
    <t xml:space="preserve">Energy intake higher in the luteal than follicular phase (SMD 0.69; about 168 kcal/day).</t>
  </si>
  <si>
    <t xml:space="preserve">Methodological inconsistencies across studies.</t>
  </si>
  <si>
    <t xml:space="preserve">Cycle phase may change eating, so it should be recorded.</t>
  </si>
  <si>
    <t xml:space="preserve">Women-Specific Considerations; Gaps in the Literature</t>
  </si>
  <si>
    <t xml:space="preserve">10.1093/nutrit/nuae093</t>
  </si>
  <si>
    <r>
      <rPr>
        <sz val="10"/>
        <rFont val="Arial"/>
        <family val="0"/>
        <charset val="1"/>
      </rPr>
      <t xml:space="preserve">Tucker JAL, McCarthy SF, Bornath DPD, Khoja JS, Hazell TJ. The effect of the menstrual cycle on energy intake: a systematic review and meta-analysis. </t>
    </r>
    <r>
      <rPr>
        <i val="true"/>
        <sz val="10"/>
        <rFont val="Arial"/>
        <family val="0"/>
        <charset val="1"/>
      </rPr>
      <t xml:space="preserve">Nutr Rev</t>
    </r>
    <r>
      <rPr>
        <sz val="10"/>
        <rFont val="Arial"/>
        <family val="0"/>
        <charset val="1"/>
      </rPr>
      <t xml:space="preserve">. 2025;83(3):e866-e876. doi:10.1093/nutrit/nuae093</t>
    </r>
  </si>
  <si>
    <t xml:space="preserve">Smith et al</t>
  </si>
  <si>
    <t xml:space="preserve">Energy intake and appetite in laboratory and free-living conditions may be consistent across menstrual cycle phases</t>
  </si>
  <si>
    <t xml:space="preserve">Canada*</t>
  </si>
  <si>
    <t xml:space="preserve">Healthy premenopausal women</t>
  </si>
  <si>
    <t xml:space="preserve">18</t>
  </si>
  <si>
    <t xml:space="preserve">Within-person comparison of 2 cycle phases (lab + free-living)</t>
  </si>
  <si>
    <t xml:space="preserve">Ad libitum intake; appetite ratings</t>
  </si>
  <si>
    <t xml:space="preserve">No differences in intake, appetite or cravings between late-follicular and mid-luteal phases, in the lab or in daily life.</t>
  </si>
  <si>
    <t xml:space="preserve">Small; 2 phases only.</t>
  </si>
  <si>
    <t xml:space="preserve">Conflicting evidence on cycle and eating → measure it rather than assume.</t>
  </si>
  <si>
    <t xml:space="preserve">Women-Specific Considerations</t>
  </si>
  <si>
    <t xml:space="preserve">10.1016/j.appet.2025.108314</t>
  </si>
  <si>
    <r>
      <rPr>
        <sz val="10"/>
        <rFont val="Arial"/>
        <family val="0"/>
        <charset val="1"/>
      </rPr>
      <t xml:space="preserve">Smith M, Aghayan M, Little J, et al. Energy intake and appetite in laboratory and free-living conditions may be consistent across menstrual cycle phases. </t>
    </r>
    <r>
      <rPr>
        <i val="true"/>
        <sz val="10"/>
        <rFont val="Arial"/>
        <family val="0"/>
        <charset val="1"/>
      </rPr>
      <t xml:space="preserve">Appetite</t>
    </r>
    <r>
      <rPr>
        <sz val="10"/>
        <rFont val="Arial"/>
        <family val="0"/>
        <charset val="1"/>
      </rPr>
      <t xml:space="preserve">. 2026;216:108314. doi:10.1016/j.appet.2025.108314</t>
    </r>
  </si>
  <si>
    <t xml:space="preserve">de Jager et al</t>
  </si>
  <si>
    <t xml:space="preserve">Wearable-derived heart rate variability across the menstrual cycle, hormonal contraceptive use, and reproductive life stages in females: a living systematic review</t>
  </si>
  <si>
    <t xml:space="preserve">Sports Med</t>
  </si>
  <si>
    <t xml:space="preserve">Multiple (living review)</t>
  </si>
  <si>
    <t xml:space="preserve">Females of any age</t>
  </si>
  <si>
    <t xml:space="preserve">16 studies</t>
  </si>
  <si>
    <t xml:space="preserve">Living systematic review</t>
  </si>
  <si>
    <t xml:space="preserve">Wearable- or mobile-measured HRV</t>
  </si>
  <si>
    <t xml:space="preserve">Various wearable/mobile devices</t>
  </si>
  <si>
    <t xml:space="preserve">HRV higher early in the cycle, lower late (3%–9%); lower in hormonal contraceptive users; declines after menopause.</t>
  </si>
  <si>
    <t xml:space="preserve">Cycle phases classified differently across studies.</t>
  </si>
  <si>
    <t xml:space="preserve">Record cycle phase and contraceptive use.</t>
  </si>
  <si>
    <t xml:space="preserve">10.1007/s40279-025-02388-y</t>
  </si>
  <si>
    <r>
      <rPr>
        <sz val="10"/>
        <rFont val="Arial"/>
        <family val="0"/>
        <charset val="1"/>
      </rPr>
      <t xml:space="preserve">de Jager E, Caulfield B, Angelidi E, MacNamee B, Holden S. Wearable-derived heart rate variability across the menstrual cycle, hormonal contraceptive use, and reproductive life stages in females: a living systematic review. </t>
    </r>
    <r>
      <rPr>
        <i val="true"/>
        <sz val="10"/>
        <rFont val="Arial"/>
        <family val="0"/>
        <charset val="1"/>
      </rPr>
      <t xml:space="preserve">Sports Med</t>
    </r>
    <r>
      <rPr>
        <sz val="10"/>
        <rFont val="Arial"/>
        <family val="0"/>
        <charset val="1"/>
      </rPr>
      <t xml:space="preserve">. 2026;56(5):1153-1173. doi:10.1007/s40279-025-02388-y</t>
    </r>
  </si>
  <si>
    <t xml:space="preserve">Alzueta et al</t>
  </si>
  <si>
    <t xml:space="preserve">Tracking sleep, temperature, heart rate, and daily symptoms across the menstrual cycle with the Oura Ring in healthy women</t>
  </si>
  <si>
    <t xml:space="preserve">Int J Womens Health</t>
  </si>
  <si>
    <t xml:space="preserve">USA (California)</t>
  </si>
  <si>
    <t xml:space="preserve">Healthy women with regular ovulatory cycles (mean age 24)</t>
  </si>
  <si>
    <t xml:space="preserve">26</t>
  </si>
  <si>
    <t xml:space="preserve">Longitudinal, across one menstrual cycle</t>
  </si>
  <si>
    <t xml:space="preserve">Oura sleep continuity and stages; diary sleep quality</t>
  </si>
  <si>
    <t xml:space="preserve">Oura heart rate, HRV (RMSSD), skin temperature</t>
  </si>
  <si>
    <t xml:space="preserve">Oura ring</t>
  </si>
  <si>
    <t xml:space="preserve">Sleep did not change across the cycle; skin temperature and heart rate did.</t>
  </si>
  <si>
    <t xml:space="preserve">Small; one cycle each; healthy young women.</t>
  </si>
  <si>
    <t xml:space="preserve">Cycle phase affects night heart rate → record it.</t>
  </si>
  <si>
    <t xml:space="preserve">Women-Specific Considerations; Wearable Device Studies</t>
  </si>
  <si>
    <t xml:space="preserve">10.2147/ijwh.s341917</t>
  </si>
  <si>
    <r>
      <rPr>
        <sz val="10"/>
        <rFont val="Arial"/>
        <family val="0"/>
        <charset val="1"/>
      </rPr>
      <t xml:space="preserve">Alzueta E, de Zambotti M, Javitz H, et al. Tracking sleep, temperature, heart rate, and daily symptoms across the menstrual cycle with the Oura Ring in healthy women. </t>
    </r>
    <r>
      <rPr>
        <i val="true"/>
        <sz val="10"/>
        <rFont val="Arial"/>
        <family val="0"/>
        <charset val="1"/>
      </rPr>
      <t xml:space="preserve">Int J Womens Health</t>
    </r>
    <r>
      <rPr>
        <sz val="10"/>
        <rFont val="Arial"/>
        <family val="0"/>
        <charset val="1"/>
      </rPr>
      <t xml:space="preserve">. 2022;14:491-503. doi:10.2147/ijwh.s341917</t>
    </r>
  </si>
  <si>
    <t xml:space="preserve">Daniel et al</t>
  </si>
  <si>
    <t xml:space="preserve">Associations of meal timing and sleep timing with premenstrual syndrome and dysmenorrhea in Japanese women: a cross-sectional study</t>
  </si>
  <si>
    <t xml:space="preserve">Japan</t>
  </si>
  <si>
    <t xml:space="preserve">Women recruited through a nutrition app (mean age 33)</t>
  </si>
  <si>
    <t xml:space="preserve">426</t>
  </si>
  <si>
    <t xml:space="preserve">First and last meal times, eating window, breakfast frequency, snacking</t>
  </si>
  <si>
    <t xml:space="preserve">Sleep timing and duration; chronotype; social jetlag</t>
  </si>
  <si>
    <t xml:space="preserve">Asken nutrition app (recruitment)</t>
  </si>
  <si>
    <t xml:space="preserve">On free days, later last meal and longer eating window linked to worse menstrual pain; more nighttime snacking linked to moderate–severe PMS.</t>
  </si>
  <si>
    <t xml:space="preserve">Women-specific link between eating timing and cycle symptoms.</t>
  </si>
  <si>
    <t xml:space="preserve">10.3389/fnut.2026.1875559</t>
  </si>
  <si>
    <r>
      <rPr>
        <sz val="10"/>
        <rFont val="Arial"/>
        <family val="0"/>
        <charset val="1"/>
      </rPr>
      <t xml:space="preserve">Daniel A, Nishimura Y, Lo YP, et al. Associations of meal timing and sleep timing with premenstrual syndrome and dysmenorrhea in Japanese women: a cross-sectional study. </t>
    </r>
    <r>
      <rPr>
        <i val="true"/>
        <sz val="10"/>
        <rFont val="Arial"/>
        <family val="0"/>
        <charset val="1"/>
      </rPr>
      <t xml:space="preserve">Front Nutr</t>
    </r>
    <r>
      <rPr>
        <sz val="10"/>
        <rFont val="Arial"/>
        <family val="0"/>
        <charset val="1"/>
      </rPr>
      <t xml:space="preserve">. 2026;13:1875559. doi:10.3389/fnut.2026.1875559</t>
    </r>
  </si>
  <si>
    <t xml:space="preserve">Yuda et al</t>
  </si>
  <si>
    <t xml:space="preserve">Multimodal physiological monitoring using novel wearable sensors: a pilot study on nocturnal glucose dynamics and meal-related cardiovascular responses</t>
  </si>
  <si>
    <t xml:space="preserve">Bioengineering (Basel)</t>
  </si>
  <si>
    <t xml:space="preserve">Healthy adults (pilot)</t>
  </si>
  <si>
    <t xml:space="preserve">5 (sleep test); 9 men (meal test)</t>
  </si>
  <si>
    <t xml:space="preserve">1 of 5; 0 of 9</t>
  </si>
  <si>
    <t xml:space="preserve">Pilot study, two experiments</t>
  </si>
  <si>
    <t xml:space="preserve">Before, during and after a meal</t>
  </si>
  <si>
    <t xml:space="preserve">Overnight glucose and SpO₂</t>
  </si>
  <si>
    <t xml:space="preserve">Heart rate, skin temperature</t>
  </si>
  <si>
    <t xml:space="preserve">Ring-type wearable; interstitial glucose sensor</t>
  </si>
  <si>
    <t xml:space="preserve">Heart rate differed between the pre-meal period and the meal; glucose fell during sleep in 4 of 5 participants.</t>
  </si>
  <si>
    <t xml:space="preserve">Tiny sample; mostly men; short recordings.</t>
  </si>
  <si>
    <t xml:space="preserve">Shows wearables can pick up meal-related heart rate changes.</t>
  </si>
  <si>
    <t xml:space="preserve">Wearable Device Studies</t>
  </si>
  <si>
    <t xml:space="preserve">10.3390/bioengineering13010069</t>
  </si>
  <si>
    <r>
      <rPr>
        <sz val="10"/>
        <rFont val="Arial"/>
        <family val="0"/>
        <charset val="1"/>
      </rPr>
      <t xml:space="preserve">Yuda E, Yoshida Y, Edamatsu H, Hayano J. Multimodal physiological monitoring using novel wearable sensors: a pilot study on nocturnal glucose dynamics and meal-related cardiovascular responses. </t>
    </r>
    <r>
      <rPr>
        <i val="true"/>
        <sz val="10"/>
        <rFont val="Arial"/>
        <family val="0"/>
        <charset val="1"/>
      </rPr>
      <t xml:space="preserve">Bioengineering (Basel)</t>
    </r>
    <r>
      <rPr>
        <sz val="10"/>
        <rFont val="Arial"/>
        <family val="0"/>
        <charset val="1"/>
      </rPr>
      <t xml:space="preserve">. 2026;13(1):69. doi:10.3390/bioengineering13010069</t>
    </r>
  </si>
  <si>
    <t xml:space="preserve">Perrone et al</t>
  </si>
  <si>
    <t xml:space="preserve">Physiologic readiness and subjective workload of performing operations: a prospective observational study of attending and trainee surgeons</t>
  </si>
  <si>
    <t xml:space="preserve">Am J Surg</t>
  </si>
  <si>
    <t xml:space="preserve">Surgeons (29 attendings, 37 trainees)</t>
  </si>
  <si>
    <t xml:space="preserve">66</t>
  </si>
  <si>
    <t xml:space="preserve">Prospective observational</t>
  </si>
  <si>
    <t xml:space="preserve">HRV-based recovery score</t>
  </si>
  <si>
    <t xml:space="preserve">Wearable biometric sensor (brand not named in abstract)</t>
  </si>
  <si>
    <t xml:space="preserve">Recovery score not linked to perceived workload; junior surgeons scored higher than senior.</t>
  </si>
  <si>
    <t xml:space="preserve">Surgeons only; workload, not eating.</t>
  </si>
  <si>
    <t xml:space="preserve">Recovery scores unvalidated → use raw HRV and RHR as main outcomes.</t>
  </si>
  <si>
    <t xml:space="preserve">Wearable Device Studies; Gaps in the Literature</t>
  </si>
  <si>
    <t xml:space="preserve">10.1016/j.amjsurg.2024.116175</t>
  </si>
  <si>
    <r>
      <rPr>
        <sz val="10"/>
        <rFont val="Arial"/>
        <family val="0"/>
        <charset val="1"/>
      </rPr>
      <t xml:space="preserve">Perrone K, Earley M, Rosenberg G, Pugh C, Kin C. Physiologic readiness and subjective workload of performing operations: a prospective observational study of attending and trainee surgeons. </t>
    </r>
    <r>
      <rPr>
        <i val="true"/>
        <sz val="10"/>
        <rFont val="Arial"/>
        <family val="0"/>
        <charset val="1"/>
      </rPr>
      <t xml:space="preserve">Am J Surg</t>
    </r>
    <r>
      <rPr>
        <sz val="10"/>
        <rFont val="Arial"/>
        <family val="0"/>
        <charset val="1"/>
      </rPr>
      <t xml:space="preserve">. 2025;241:116175. doi:10.1016/j.amjsurg.2024.116175</t>
    </r>
  </si>
  <si>
    <t xml:space="preserve">Miller et al</t>
  </si>
  <si>
    <t xml:space="preserve">A validation of six wearable devices for estimating sleep, heart rate and heart rate variability in healthy adults</t>
  </si>
  <si>
    <t xml:space="preserve">Sensors (Basel)</t>
  </si>
  <si>
    <t xml:space="preserve">Australia*</t>
  </si>
  <si>
    <t xml:space="preserve">Healthy adults (mean age 25)</t>
  </si>
  <si>
    <t xml:space="preserve">53</t>
  </si>
  <si>
    <t xml:space="preserve">Laboratory validation, 1 night vs polysomnography and ECG</t>
  </si>
  <si>
    <t xml:space="preserve">Device validation</t>
  </si>
  <si>
    <t xml:space="preserve">Sleep vs wake and sleep stages</t>
  </si>
  <si>
    <t xml:space="preserve">Heart rate and HRV before and during sleep</t>
  </si>
  <si>
    <t xml:space="preserve">Apple Watch S6, Garmin Forerunner 245 Music, Polar Vantage V, Oura Gen 2, WHOOP 3.0, Somfit</t>
  </si>
  <si>
    <t xml:space="preserve">Sleep–wake agreement 86%–89% (κ 0.30–0.51); sleep stage agreement 50%–65%.</t>
  </si>
  <si>
    <t xml:space="preserve">One night; healthy young adults; laboratory.</t>
  </si>
  <si>
    <t xml:space="preserve">Device sleep duration and timing usable; stages need caution.</t>
  </si>
  <si>
    <t xml:space="preserve">10.3390/s22166317</t>
  </si>
  <si>
    <r>
      <rPr>
        <sz val="10"/>
        <rFont val="Arial"/>
        <family val="0"/>
        <charset val="1"/>
      </rPr>
      <t xml:space="preserve">Miller DJ, Sargent C, Roach GD. A validation of six wearable devices for estimating sleep, heart rate and heart rate variability in healthy adults. </t>
    </r>
    <r>
      <rPr>
        <i val="true"/>
        <sz val="10"/>
        <rFont val="Arial"/>
        <family val="0"/>
        <charset val="1"/>
      </rPr>
      <t xml:space="preserve">Sensors (Basel)</t>
    </r>
    <r>
      <rPr>
        <sz val="10"/>
        <rFont val="Arial"/>
        <family val="0"/>
        <charset val="1"/>
      </rPr>
      <t xml:space="preserve">. 2022;22(16):6317. doi:10.3390/s22166317</t>
    </r>
  </si>
  <si>
    <t xml:space="preserve">Chinoy et al</t>
  </si>
  <si>
    <t xml:space="preserve">Performance of seven consumer sleep-tracking devices compared with polysomnography</t>
  </si>
  <si>
    <t xml:space="preserve">34</t>
  </si>
  <si>
    <t xml:space="preserve">Laboratory validation, 3 nights vs polysomnography</t>
  </si>
  <si>
    <t xml:space="preserve">Sleep vs wake, sleep stages</t>
  </si>
  <si>
    <t xml:space="preserve">Fitbit Alta HR, Garmin Fenix 5S, Garmin Vivosmart 3, Fatigue Science Readiband (+ 3 non-wearables)</t>
  </si>
  <si>
    <t xml:space="preserve">Most devices as good as or better than actigraphy; Garmin worse. Sensitivity ≥0.93, specificity 0.18–0.54.</t>
  </si>
  <si>
    <t xml:space="preserve">Laboratory; older device models.</t>
  </si>
  <si>
    <t xml:space="preserve">Devices underestimate wake → sleep efficiency needs caution.</t>
  </si>
  <si>
    <t xml:space="preserve">10.1093/sleep/zsaa291</t>
  </si>
  <si>
    <r>
      <rPr>
        <sz val="10"/>
        <rFont val="Arial"/>
        <family val="0"/>
        <charset val="1"/>
      </rPr>
      <t xml:space="preserve">Chinoy ED, Cuellar JA, Huwa KE, et al. Performance of seven consumer sleep-tracking devices compared with polysomnography. </t>
    </r>
    <r>
      <rPr>
        <i val="true"/>
        <sz val="10"/>
        <rFont val="Arial"/>
        <family val="0"/>
        <charset val="1"/>
      </rPr>
      <t xml:space="preserve">Sleep</t>
    </r>
    <r>
      <rPr>
        <sz val="10"/>
        <rFont val="Arial"/>
        <family val="0"/>
        <charset val="1"/>
      </rPr>
      <t xml:space="preserve">. 2021;44(5):zsaa291. doi:10.1093/sleep/zsaa291</t>
    </r>
  </si>
  <si>
    <t xml:space="preserve">Dial et al</t>
  </si>
  <si>
    <t xml:space="preserve">Validation of nocturnal resting heart rate and heart rate variability in consumer wearables</t>
  </si>
  <si>
    <t xml:space="preserve">Physiol Rep</t>
  </si>
  <si>
    <t xml:space="preserve">13 (536 nights)</t>
  </si>
  <si>
    <t xml:space="preserve">Validation vs ECG during sleep</t>
  </si>
  <si>
    <t xml:space="preserve">Night-time resting heart rate and HRV</t>
  </si>
  <si>
    <t xml:space="preserve">Oura Gen 3 and Gen 4, WHOOP 4.0, Garmin Fenix 6, Polar Grit X Pro</t>
  </si>
  <si>
    <t xml:space="preserve">RHR: Oura most accurate (MAPE 1.67%–1.94%), WHOOP moderate (3.00%). HRV MAPE: Oura Gen 4 5.96%, Gen 3 7.15%, WHOOP 8.17%, Garmin 10.52%, Polar 16.32%.</t>
  </si>
  <si>
    <t xml:space="preserve">Only 13 people; Garmin excluded from RHR analysis.</t>
  </si>
  <si>
    <t xml:space="preserve">Device choice matters for nightly HRV accuracy.</t>
  </si>
  <si>
    <t xml:space="preserve">10.14814/phy2.70527</t>
  </si>
  <si>
    <r>
      <rPr>
        <sz val="10"/>
        <rFont val="Arial"/>
        <family val="0"/>
        <charset val="1"/>
      </rPr>
      <t xml:space="preserve">Dial MB, Hollander ME, Vatne EA, Emerson AM, Edwards NA, Hagen JA. Validation of nocturnal resting heart rate and heart rate variability in consumer wearables. </t>
    </r>
    <r>
      <rPr>
        <i val="true"/>
        <sz val="10"/>
        <rFont val="Arial"/>
        <family val="0"/>
        <charset val="1"/>
      </rPr>
      <t xml:space="preserve">Physiol Rep</t>
    </r>
    <r>
      <rPr>
        <sz val="10"/>
        <rFont val="Arial"/>
        <family val="0"/>
        <charset val="1"/>
      </rPr>
      <t xml:space="preserve">. 2025;13(16):e70527. doi:10.14814/phy2.70527</t>
    </r>
  </si>
  <si>
    <t xml:space="preserve">Hirten et al</t>
  </si>
  <si>
    <t xml:space="preserve">Use of physiological data from a wearable device to identify SARS-CoV-2 infection and symptoms and predict COVID-19 diagnosis: observational study</t>
  </si>
  <si>
    <t xml:space="preserve">J Med Internet Res</t>
  </si>
  <si>
    <t xml:space="preserve">USA (New York)</t>
  </si>
  <si>
    <t xml:space="preserve">Health care workers (Warrior Watch Study)</t>
  </si>
  <si>
    <t xml:space="preserve">297</t>
  </si>
  <si>
    <t xml:space="preserve">Prospective observational cohort</t>
  </si>
  <si>
    <t xml:space="preserve">HRV as SDNN</t>
  </si>
  <si>
    <t xml:space="preserve">Apple Watch</t>
  </si>
  <si>
    <t xml:space="preserve">Apple Watch HRV is recorded as SDNN; the daily SDNN pattern changed around COVID-19 diagnosis.</t>
  </si>
  <si>
    <t xml:space="preserve">About infection, not eating or sleep.</t>
  </si>
  <si>
    <t xml:space="preserve">Source that Apple Watch reports SDNN, not RMSSD.</t>
  </si>
  <si>
    <t xml:space="preserve">10.2196/26107</t>
  </si>
  <si>
    <r>
      <rPr>
        <sz val="10"/>
        <rFont val="Arial"/>
        <family val="0"/>
        <charset val="1"/>
      </rPr>
      <t xml:space="preserve">Hirten RP, Danieletto M, Tomalin L, et al. Use of physiological data from a wearable device to identify SARS-CoV-2 infection and symptoms and predict COVID-19 diagnosis: observational study. </t>
    </r>
    <r>
      <rPr>
        <i val="true"/>
        <sz val="10"/>
        <rFont val="Arial"/>
        <family val="0"/>
        <charset val="1"/>
      </rPr>
      <t xml:space="preserve">J Med Internet Res</t>
    </r>
    <r>
      <rPr>
        <sz val="10"/>
        <rFont val="Arial"/>
        <family val="0"/>
        <charset val="1"/>
      </rPr>
      <t xml:space="preserve">. 2021;23(2):e26107. doi:10.2196/26107</t>
    </r>
  </si>
</sst>
</file>

<file path=xl/styles.xml><?xml version="1.0" encoding="utf-8"?>
<styleSheet xmlns="http://schemas.openxmlformats.org/spreadsheetml/2006/main">
  <numFmts count="3">
    <numFmt numFmtId="164" formatCode="General"/>
    <numFmt numFmtId="165" formatCode="0"/>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1E5631"/>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u val="single"/>
      <sz val="10"/>
      <color rgb="FF1E5631"/>
      <name val="Arial"/>
      <family val="0"/>
      <charset val="1"/>
    </font>
    <font>
      <i val="true"/>
      <sz val="10"/>
      <name val="Arial"/>
      <family val="0"/>
      <charset val="1"/>
    </font>
  </fonts>
  <fills count="5">
    <fill>
      <patternFill patternType="none"/>
    </fill>
    <fill>
      <patternFill patternType="gray125"/>
    </fill>
    <fill>
      <patternFill patternType="solid">
        <fgColor rgb="FF1E5631"/>
        <bgColor rgb="FF274E13"/>
      </patternFill>
    </fill>
    <fill>
      <patternFill patternType="solid">
        <fgColor rgb="FF2E7D32"/>
        <bgColor rgb="FF008000"/>
      </patternFill>
    </fill>
    <fill>
      <patternFill patternType="solid">
        <fgColor rgb="FFF1F8F1"/>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E7D32"/>
          <bgColor rgb="FF000000"/>
        </patternFill>
      </fill>
    </dxf>
    <dxf>
      <fill>
        <patternFill patternType="solid">
          <fgColor rgb="FFF1F8F1"/>
          <bgColor rgb="FF000000"/>
        </patternFill>
      </fill>
    </dxf>
    <dxf>
      <fill>
        <patternFill patternType="solid">
          <bgColor rgb="FF000000"/>
        </patternFill>
      </fill>
    </dxf>
    <dxf>
      <fill>
        <patternFill patternType="solid">
          <fgColor rgb="FFFFFFFF"/>
          <bgColor rgb="FF000000"/>
        </patternFill>
      </fill>
    </dxf>
    <dxf>
      <fill>
        <patternFill patternType="solid">
          <fgColor rgb="FFC8E6C9"/>
          <bgColor rgb="FF000000"/>
        </patternFill>
      </fill>
    </dxf>
    <dxf>
      <fill>
        <patternFill patternType="solid">
          <fgColor rgb="FF274E13"/>
          <bgColor rgb="FF000000"/>
        </patternFill>
      </fill>
    </dxf>
    <dxf>
      <fill>
        <patternFill patternType="solid">
          <fgColor rgb="FF1E5631"/>
          <bgColor rgb="FF000000"/>
        </patternFill>
      </fill>
    </dxf>
    <dxf>
      <font>
        <name val="Arial"/>
        <charset val="1"/>
        <family val="0"/>
        <b val="1"/>
        <color rgb="FF274E13"/>
      </font>
      <fill>
        <patternFill>
          <bgColor rgb="FFC8E6C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1F8F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2E7D32"/>
      <rgbColor rgb="FF003300"/>
      <rgbColor rgb="FF274E13"/>
      <rgbColor rgb="FF993300"/>
      <rgbColor rgb="FF993366"/>
      <rgbColor rgb="FF333399"/>
      <rgbColor rgb="FF1E56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pubmed.ncbi.nlm.nih.gov/38788519/" TargetMode="External"/><Relationship Id="rId2" Type="http://schemas.openxmlformats.org/officeDocument/2006/relationships/hyperlink" Target="https://doi.org/10.1016/j.smrv.2024.101953" TargetMode="External"/><Relationship Id="rId3" Type="http://schemas.openxmlformats.org/officeDocument/2006/relationships/hyperlink" Target="https://pubmed.ncbi.nlm.nih.gov/42581816/" TargetMode="External"/><Relationship Id="rId4" Type="http://schemas.openxmlformats.org/officeDocument/2006/relationships/hyperlink" Target="https://doi.org/10.1093/cvr/cvag169" TargetMode="External"/><Relationship Id="rId5" Type="http://schemas.openxmlformats.org/officeDocument/2006/relationships/hyperlink" Target="https://pubmed.ncbi.nlm.nih.gov/34511160/" TargetMode="External"/><Relationship Id="rId6" Type="http://schemas.openxmlformats.org/officeDocument/2006/relationships/hyperlink" Target="https://doi.org/10.1017/S0007114521003597" TargetMode="External"/><Relationship Id="rId7" Type="http://schemas.openxmlformats.org/officeDocument/2006/relationships/hyperlink" Target="https://pubmed.ncbi.nlm.nih.gov/41305630/" TargetMode="External"/><Relationship Id="rId8" Type="http://schemas.openxmlformats.org/officeDocument/2006/relationships/hyperlink" Target="https://doi.org/10.3390/nu17223580" TargetMode="External"/><Relationship Id="rId9" Type="http://schemas.openxmlformats.org/officeDocument/2006/relationships/hyperlink" Target="https://pubmed.ncbi.nlm.nih.gov/34017207/" TargetMode="External"/><Relationship Id="rId10" Type="http://schemas.openxmlformats.org/officeDocument/2006/relationships/hyperlink" Target="https://doi.org/10.2147/NSS.S301113" TargetMode="External"/><Relationship Id="rId11" Type="http://schemas.openxmlformats.org/officeDocument/2006/relationships/hyperlink" Target="https://pubmed.ncbi.nlm.nih.gov/41975458/" TargetMode="External"/><Relationship Id="rId12" Type="http://schemas.openxmlformats.org/officeDocument/2006/relationships/hyperlink" Target="https://doi.org/10.1186/s40101-026-00430-0" TargetMode="External"/><Relationship Id="rId13" Type="http://schemas.openxmlformats.org/officeDocument/2006/relationships/hyperlink" Target="https://pubmed.ncbi.nlm.nih.gov/41232466/" TargetMode="External"/><Relationship Id="rId14" Type="http://schemas.openxmlformats.org/officeDocument/2006/relationships/hyperlink" Target="https://doi.org/10.1016/j.actpsy.2025.105900" TargetMode="External"/><Relationship Id="rId15" Type="http://schemas.openxmlformats.org/officeDocument/2006/relationships/hyperlink" Target="https://pubmed.ncbi.nlm.nih.gov/35534102/" TargetMode="External"/><Relationship Id="rId16" Type="http://schemas.openxmlformats.org/officeDocument/2006/relationships/hyperlink" Target="https://doi.org/10.1016/j.jneb.2022.02.006" TargetMode="External"/><Relationship Id="rId17" Type="http://schemas.openxmlformats.org/officeDocument/2006/relationships/hyperlink" Target="https://pubmed.ncbi.nlm.nih.gov/37375582/" TargetMode="External"/><Relationship Id="rId18" Type="http://schemas.openxmlformats.org/officeDocument/2006/relationships/hyperlink" Target="https://doi.org/10.3390/nu15122678" TargetMode="External"/><Relationship Id="rId19" Type="http://schemas.openxmlformats.org/officeDocument/2006/relationships/hyperlink" Target="https://pubmed.ncbi.nlm.nih.gov/39144285/" TargetMode="External"/><Relationship Id="rId20" Type="http://schemas.openxmlformats.org/officeDocument/2006/relationships/hyperlink" Target="https://doi.org/10.3389/fnut.2024.1419811" TargetMode="External"/><Relationship Id="rId21" Type="http://schemas.openxmlformats.org/officeDocument/2006/relationships/hyperlink" Target="https://pubmed.ncbi.nlm.nih.gov/40498475/" TargetMode="External"/><Relationship Id="rId22" Type="http://schemas.openxmlformats.org/officeDocument/2006/relationships/hyperlink" Target="https://doi.org/10.1093/nutrit/nuaf051" TargetMode="External"/><Relationship Id="rId23" Type="http://schemas.openxmlformats.org/officeDocument/2006/relationships/hyperlink" Target="https://pubmed.ncbi.nlm.nih.gov/41202521/" TargetMode="External"/><Relationship Id="rId24" Type="http://schemas.openxmlformats.org/officeDocument/2006/relationships/hyperlink" Target="https://doi.org/10.1016/j.smrv.2025.102193" TargetMode="External"/><Relationship Id="rId25" Type="http://schemas.openxmlformats.org/officeDocument/2006/relationships/hyperlink" Target="https://pubmed.ncbi.nlm.nih.gov/41208478/" TargetMode="External"/><Relationship Id="rId26" Type="http://schemas.openxmlformats.org/officeDocument/2006/relationships/hyperlink" Target="https://doi.org/10.1080/07420528.2025.2577859" TargetMode="External"/><Relationship Id="rId27" Type="http://schemas.openxmlformats.org/officeDocument/2006/relationships/hyperlink" Target="https://pubmed.ncbi.nlm.nih.gov/37559551/" TargetMode="External"/><Relationship Id="rId28" Type="http://schemas.openxmlformats.org/officeDocument/2006/relationships/hyperlink" Target="https://doi.org/10.5664/jcsm.10754" TargetMode="External"/><Relationship Id="rId29" Type="http://schemas.openxmlformats.org/officeDocument/2006/relationships/hyperlink" Target="https://pubmed.ncbi.nlm.nih.gov/40241264/" TargetMode="External"/><Relationship Id="rId30" Type="http://schemas.openxmlformats.org/officeDocument/2006/relationships/hyperlink" Target="https://doi.org/10.1093/sleep/zsaf089" TargetMode="External"/><Relationship Id="rId31" Type="http://schemas.openxmlformats.org/officeDocument/2006/relationships/hyperlink" Target="https://pubmed.ncbi.nlm.nih.gov/42272904/" TargetMode="External"/><Relationship Id="rId32" Type="http://schemas.openxmlformats.org/officeDocument/2006/relationships/hyperlink" Target="https://doi.org/10.3389/fnut.2026.1823259" TargetMode="External"/><Relationship Id="rId33" Type="http://schemas.openxmlformats.org/officeDocument/2006/relationships/hyperlink" Target="https://pubmed.ncbi.nlm.nih.gov/39458522/" TargetMode="External"/><Relationship Id="rId34" Type="http://schemas.openxmlformats.org/officeDocument/2006/relationships/hyperlink" Target="https://doi.org/10.3390/nu16203528" TargetMode="External"/><Relationship Id="rId35" Type="http://schemas.openxmlformats.org/officeDocument/2006/relationships/hyperlink" Target="https://pubmed.ncbi.nlm.nih.gov/39182275/" TargetMode="External"/><Relationship Id="rId36" Type="http://schemas.openxmlformats.org/officeDocument/2006/relationships/hyperlink" Target="https://doi.org/10.1016/j.sleep.2024.08.012" TargetMode="External"/><Relationship Id="rId37" Type="http://schemas.openxmlformats.org/officeDocument/2006/relationships/hyperlink" Target="https://pubmed.ncbi.nlm.nih.gov/37083715/" TargetMode="External"/><Relationship Id="rId38" Type="http://schemas.openxmlformats.org/officeDocument/2006/relationships/hyperlink" Target="https://doi.org/10.1093/sleep/zsad123" TargetMode="External"/><Relationship Id="rId39" Type="http://schemas.openxmlformats.org/officeDocument/2006/relationships/hyperlink" Target="https://pubmed.ncbi.nlm.nih.gov/37409467/" TargetMode="External"/><Relationship Id="rId40" Type="http://schemas.openxmlformats.org/officeDocument/2006/relationships/hyperlink" Target="https://doi.org/10.5664/jcsm.10696" TargetMode="External"/><Relationship Id="rId41" Type="http://schemas.openxmlformats.org/officeDocument/2006/relationships/hyperlink" Target="https://pubmed.ncbi.nlm.nih.gov/37562755/" TargetMode="External"/><Relationship Id="rId42" Type="http://schemas.openxmlformats.org/officeDocument/2006/relationships/hyperlink" Target="https://doi.org/10.1016/j.appet.2023.106998" TargetMode="External"/><Relationship Id="rId43" Type="http://schemas.openxmlformats.org/officeDocument/2006/relationships/hyperlink" Target="https://pubmed.ncbi.nlm.nih.gov/40832902/" TargetMode="External"/><Relationship Id="rId44" Type="http://schemas.openxmlformats.org/officeDocument/2006/relationships/hyperlink" Target="https://doi.org/10.1093/sleep/zsaf247" TargetMode="External"/><Relationship Id="rId45" Type="http://schemas.openxmlformats.org/officeDocument/2006/relationships/hyperlink" Target="https://pubmed.ncbi.nlm.nih.gov/41674465/" TargetMode="External"/><Relationship Id="rId46" Type="http://schemas.openxmlformats.org/officeDocument/2006/relationships/hyperlink" Target="https://doi.org/10.1161/ATVBAHA.125.323355" TargetMode="External"/><Relationship Id="rId47" Type="http://schemas.openxmlformats.org/officeDocument/2006/relationships/hyperlink" Target="https://pubmed.ncbi.nlm.nih.gov/40199860/" TargetMode="External"/><Relationship Id="rId48" Type="http://schemas.openxmlformats.org/officeDocument/2006/relationships/hyperlink" Target="https://doi.org/10.1038/s41467-025-57846-y" TargetMode="External"/><Relationship Id="rId49" Type="http://schemas.openxmlformats.org/officeDocument/2006/relationships/hyperlink" Target="https://pubmed.ncbi.nlm.nih.gov/36095195/" TargetMode="External"/><Relationship Id="rId50" Type="http://schemas.openxmlformats.org/officeDocument/2006/relationships/hyperlink" Target="https://doi.org/10.1073/pnas.2206348119" TargetMode="External"/><Relationship Id="rId51" Type="http://schemas.openxmlformats.org/officeDocument/2006/relationships/hyperlink" Target="https://pubmed.ncbi.nlm.nih.gov/33859841/" TargetMode="External"/><Relationship Id="rId52" Type="http://schemas.openxmlformats.org/officeDocument/2006/relationships/hyperlink" Target="https://doi.org/10.1155/2021/6610455" TargetMode="External"/><Relationship Id="rId53" Type="http://schemas.openxmlformats.org/officeDocument/2006/relationships/hyperlink" Target="https://pubmed.ncbi.nlm.nih.gov/40797465/" TargetMode="External"/><Relationship Id="rId54" Type="http://schemas.openxmlformats.org/officeDocument/2006/relationships/hyperlink" Target="https://doi.org/10.1097/MD.0000000000043800" TargetMode="External"/><Relationship Id="rId55" Type="http://schemas.openxmlformats.org/officeDocument/2006/relationships/hyperlink" Target="https://pubmed.ncbi.nlm.nih.gov/40895095/" TargetMode="External"/><Relationship Id="rId56" Type="http://schemas.openxmlformats.org/officeDocument/2006/relationships/hyperlink" Target="https://doi.org/10.3389/fneur.2025.1556784" TargetMode="External"/><Relationship Id="rId57" Type="http://schemas.openxmlformats.org/officeDocument/2006/relationships/hyperlink" Target="https://pubmed.ncbi.nlm.nih.gov/42189065/" TargetMode="External"/><Relationship Id="rId58" Type="http://schemas.openxmlformats.org/officeDocument/2006/relationships/hyperlink" Target="https://doi.org/10.1111/jce.70358" TargetMode="External"/><Relationship Id="rId59" Type="http://schemas.openxmlformats.org/officeDocument/2006/relationships/hyperlink" Target="https://pubmed.ncbi.nlm.nih.gov/37738616/" TargetMode="External"/><Relationship Id="rId60" Type="http://schemas.openxmlformats.org/officeDocument/2006/relationships/hyperlink" Target="https://doi.org/10.1093/sleep/zsad253" TargetMode="External"/><Relationship Id="rId61" Type="http://schemas.openxmlformats.org/officeDocument/2006/relationships/hyperlink" Target="https://pubmed.ncbi.nlm.nih.gov/41065723/" TargetMode="External"/><Relationship Id="rId62" Type="http://schemas.openxmlformats.org/officeDocument/2006/relationships/hyperlink" Target="https://doi.org/10.1093/sleep/zsaf318" TargetMode="External"/><Relationship Id="rId63" Type="http://schemas.openxmlformats.org/officeDocument/2006/relationships/hyperlink" Target="https://pubmed.ncbi.nlm.nih.gov/39008822/" TargetMode="External"/><Relationship Id="rId64" Type="http://schemas.openxmlformats.org/officeDocument/2006/relationships/hyperlink" Target="https://doi.org/10.1093/nutrit/nuae093" TargetMode="External"/><Relationship Id="rId65" Type="http://schemas.openxmlformats.org/officeDocument/2006/relationships/hyperlink" Target="https://pubmed.ncbi.nlm.nih.gov/41005066/" TargetMode="External"/><Relationship Id="rId66" Type="http://schemas.openxmlformats.org/officeDocument/2006/relationships/hyperlink" Target="https://doi.org/10.1016/j.appet.2025.108314" TargetMode="External"/><Relationship Id="rId67" Type="http://schemas.openxmlformats.org/officeDocument/2006/relationships/hyperlink" Target="https://pubmed.ncbi.nlm.nih.gov/41545627/" TargetMode="External"/><Relationship Id="rId68" Type="http://schemas.openxmlformats.org/officeDocument/2006/relationships/hyperlink" Target="https://doi.org/10.1007/s40279-025-02388-y" TargetMode="External"/><Relationship Id="rId69" Type="http://schemas.openxmlformats.org/officeDocument/2006/relationships/hyperlink" Target="https://pubmed.ncbi.nlm.nih.gov/35422659/" TargetMode="External"/><Relationship Id="rId70" Type="http://schemas.openxmlformats.org/officeDocument/2006/relationships/hyperlink" Target="https://doi.org/10.2147/ijwh.s341917" TargetMode="External"/><Relationship Id="rId71" Type="http://schemas.openxmlformats.org/officeDocument/2006/relationships/hyperlink" Target="https://pubmed.ncbi.nlm.nih.gov/42569180/" TargetMode="External"/><Relationship Id="rId72" Type="http://schemas.openxmlformats.org/officeDocument/2006/relationships/hyperlink" Target="https://doi.org/10.3389/fnut.2026.1875559" TargetMode="External"/><Relationship Id="rId73" Type="http://schemas.openxmlformats.org/officeDocument/2006/relationships/hyperlink" Target="https://pubmed.ncbi.nlm.nih.gov/41596000/" TargetMode="External"/><Relationship Id="rId74" Type="http://schemas.openxmlformats.org/officeDocument/2006/relationships/hyperlink" Target="https://doi.org/10.3390/bioengineering13010069" TargetMode="External"/><Relationship Id="rId75" Type="http://schemas.openxmlformats.org/officeDocument/2006/relationships/hyperlink" Target="https://pubmed.ncbi.nlm.nih.gov/39788069/" TargetMode="External"/><Relationship Id="rId76" Type="http://schemas.openxmlformats.org/officeDocument/2006/relationships/hyperlink" Target="https://doi.org/10.1016/j.amjsurg.2024.116175" TargetMode="External"/><Relationship Id="rId77" Type="http://schemas.openxmlformats.org/officeDocument/2006/relationships/hyperlink" Target="https://pubmed.ncbi.nlm.nih.gov/36016077/" TargetMode="External"/><Relationship Id="rId78" Type="http://schemas.openxmlformats.org/officeDocument/2006/relationships/hyperlink" Target="https://doi.org/10.3390/s22166317" TargetMode="External"/><Relationship Id="rId79" Type="http://schemas.openxmlformats.org/officeDocument/2006/relationships/hyperlink" Target="https://pubmed.ncbi.nlm.nih.gov/33378539/" TargetMode="External"/><Relationship Id="rId80" Type="http://schemas.openxmlformats.org/officeDocument/2006/relationships/hyperlink" Target="https://doi.org/10.1093/sleep/zsaa291" TargetMode="External"/><Relationship Id="rId81" Type="http://schemas.openxmlformats.org/officeDocument/2006/relationships/hyperlink" Target="https://pubmed.ncbi.nlm.nih.gov/40834291/" TargetMode="External"/><Relationship Id="rId82" Type="http://schemas.openxmlformats.org/officeDocument/2006/relationships/hyperlink" Target="https://doi.org/10.14814/phy2.70527" TargetMode="External"/><Relationship Id="rId83" Type="http://schemas.openxmlformats.org/officeDocument/2006/relationships/hyperlink" Target="https://pubmed.ncbi.nlm.nih.gov/33529156/" TargetMode="External"/><Relationship Id="rId84" Type="http://schemas.openxmlformats.org/officeDocument/2006/relationships/hyperlink" Target="https://doi.org/10.2196/26107" TargetMode="External"/><Relationship Id="rId8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4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7"/>
    <col collapsed="false" customWidth="true" hidden="false" outlineLevel="0" max="4" min="4" style="0" width="42"/>
    <col collapsed="false" customWidth="true" hidden="false" outlineLevel="0" max="5" min="5" style="0" width="20"/>
    <col collapsed="false" customWidth="true" hidden="false" outlineLevel="0" max="6" min="6" style="0" width="18"/>
    <col collapsed="false" customWidth="true" hidden="false" outlineLevel="0" max="7" min="7" style="0" width="28"/>
    <col collapsed="false" customWidth="true" hidden="false" outlineLevel="0" max="8" min="8" style="0" width="17"/>
    <col collapsed="false" customWidth="true" hidden="false" outlineLevel="0" max="9" min="9" style="0" width="10"/>
    <col collapsed="false" customWidth="true" hidden="false" outlineLevel="0" max="10" min="10" style="0" width="28"/>
    <col collapsed="false" customWidth="true" hidden="false" outlineLevel="0" max="11" min="11" style="0" width="18"/>
    <col collapsed="false" customWidth="true" hidden="false" outlineLevel="0" max="12" min="12" style="0" width="30"/>
    <col collapsed="false" customWidth="true" hidden="false" outlineLevel="0" max="14" min="13" style="0" width="28"/>
    <col collapsed="false" customWidth="true" hidden="false" outlineLevel="0" max="15" min="15" style="0" width="26"/>
    <col collapsed="false" customWidth="true" hidden="false" outlineLevel="0" max="16" min="16" style="0" width="58"/>
    <col collapsed="false" customWidth="true" hidden="false" outlineLevel="0" max="18" min="17" style="0" width="38"/>
    <col collapsed="false" customWidth="true" hidden="false" outlineLevel="0" max="19" min="19" style="0" width="26"/>
    <col collapsed="false" customWidth="true" hidden="false" outlineLevel="0" max="23" min="20" style="0" width="11"/>
    <col collapsed="false" customWidth="true" hidden="false" outlineLevel="0" max="25" min="24" style="0" width="10"/>
    <col collapsed="false" customWidth="true" hidden="false" outlineLevel="0" max="28" min="26" style="0" width="11"/>
    <col collapsed="false" customWidth="true" hidden="false" outlineLevel="0" max="29" min="29" style="0" width="28"/>
    <col collapsed="false" customWidth="true" hidden="false" outlineLevel="0" max="30" min="30" style="0" width="70"/>
  </cols>
  <sheetData>
    <row r="1" customFormat="false" ht="17.35" hidden="false" customHeight="false" outlineLevel="0" collapsed="false">
      <c r="A1" s="1" t="s">
        <v>0</v>
      </c>
    </row>
    <row r="2" customFormat="false" ht="15" hidden="false" customHeight="false" outlineLevel="0" collapsed="false">
      <c r="A2" s="2" t="s">
        <v>1</v>
      </c>
    </row>
    <row r="3" customFormat="false" ht="18" hidden="false" customHeight="true" outlineLevel="0" collapsed="false">
      <c r="A3" s="3" t="s">
        <v>2</v>
      </c>
      <c r="B3" s="3"/>
      <c r="C3" s="3"/>
      <c r="D3" s="3"/>
      <c r="E3" s="3"/>
      <c r="F3" s="3" t="s">
        <v>3</v>
      </c>
      <c r="G3" s="3"/>
      <c r="H3" s="3"/>
      <c r="I3" s="3"/>
      <c r="J3" s="3"/>
      <c r="K3" s="3"/>
      <c r="L3" s="3" t="s">
        <v>4</v>
      </c>
      <c r="M3" s="3"/>
      <c r="N3" s="3"/>
      <c r="O3" s="3"/>
      <c r="P3" s="3" t="s">
        <v>5</v>
      </c>
      <c r="Q3" s="3"/>
      <c r="R3" s="3"/>
      <c r="S3" s="3"/>
      <c r="T3" s="3" t="s">
        <v>6</v>
      </c>
      <c r="U3" s="3"/>
      <c r="V3" s="3"/>
      <c r="W3" s="3"/>
      <c r="X3" s="3"/>
      <c r="Y3" s="3"/>
      <c r="Z3" s="3"/>
      <c r="AA3" s="3"/>
      <c r="AB3" s="3" t="s">
        <v>7</v>
      </c>
      <c r="AC3" s="3"/>
      <c r="AD3" s="3"/>
    </row>
    <row r="4" customFormat="false" ht="42" hidden="false" customHeight="true" outlineLevel="0" collapsed="false">
      <c r="A4" s="4" t="s">
        <v>8</v>
      </c>
      <c r="B4" s="4" t="s">
        <v>9</v>
      </c>
      <c r="C4" s="4" t="s">
        <v>10</v>
      </c>
      <c r="D4" s="4" t="s">
        <v>11</v>
      </c>
      <c r="E4" s="4" t="s">
        <v>12</v>
      </c>
      <c r="F4" s="4" t="s">
        <v>13</v>
      </c>
      <c r="G4" s="4" t="s">
        <v>14</v>
      </c>
      <c r="H4" s="4" t="s">
        <v>15</v>
      </c>
      <c r="I4" s="4" t="s">
        <v>16</v>
      </c>
      <c r="J4" s="4" t="s">
        <v>17</v>
      </c>
      <c r="K4" s="4" t="s">
        <v>18</v>
      </c>
      <c r="L4" s="4" t="s">
        <v>19</v>
      </c>
      <c r="M4" s="4" t="s">
        <v>20</v>
      </c>
      <c r="N4" s="4" t="s">
        <v>21</v>
      </c>
      <c r="O4" s="4" t="s">
        <v>22</v>
      </c>
      <c r="P4" s="4" t="s">
        <v>23</v>
      </c>
      <c r="Q4" s="4" t="s">
        <v>24</v>
      </c>
      <c r="R4" s="4" t="s">
        <v>25</v>
      </c>
      <c r="S4" s="4" t="s">
        <v>26</v>
      </c>
      <c r="T4" s="4" t="s">
        <v>27</v>
      </c>
      <c r="U4" s="4" t="s">
        <v>28</v>
      </c>
      <c r="V4" s="4" t="s">
        <v>29</v>
      </c>
      <c r="W4" s="4" t="s">
        <v>30</v>
      </c>
      <c r="X4" s="4" t="s">
        <v>31</v>
      </c>
      <c r="Y4" s="4" t="s">
        <v>32</v>
      </c>
      <c r="Z4" s="4" t="s">
        <v>33</v>
      </c>
      <c r="AA4" s="4" t="s">
        <v>34</v>
      </c>
      <c r="AB4" s="4" t="s">
        <v>35</v>
      </c>
      <c r="AC4" s="4" t="s">
        <v>36</v>
      </c>
      <c r="AD4" s="4" t="s">
        <v>37</v>
      </c>
    </row>
    <row r="5" customFormat="false" ht="55.5" hidden="false" customHeight="true" outlineLevel="0" collapsed="false">
      <c r="A5" s="5" t="n">
        <v>1</v>
      </c>
      <c r="B5" s="6" t="s">
        <v>38</v>
      </c>
      <c r="C5" s="5" t="n">
        <v>2024</v>
      </c>
      <c r="D5" s="6" t="s">
        <v>39</v>
      </c>
      <c r="E5" s="6" t="s">
        <v>40</v>
      </c>
      <c r="F5" s="6" t="s">
        <v>41</v>
      </c>
      <c r="G5" s="6" t="s">
        <v>42</v>
      </c>
      <c r="H5" s="6" t="s">
        <v>43</v>
      </c>
      <c r="I5" s="5" t="s">
        <v>44</v>
      </c>
      <c r="J5" s="6" t="s">
        <v>45</v>
      </c>
      <c r="K5" s="6" t="s">
        <v>46</v>
      </c>
      <c r="L5" s="6" t="s">
        <v>47</v>
      </c>
      <c r="M5" s="6" t="s">
        <v>48</v>
      </c>
      <c r="N5" s="6" t="s">
        <v>49</v>
      </c>
      <c r="O5" s="6" t="s">
        <v>49</v>
      </c>
      <c r="P5" s="6" t="s">
        <v>50</v>
      </c>
      <c r="Q5" s="6" t="s">
        <v>51</v>
      </c>
      <c r="R5" s="6" t="s">
        <v>52</v>
      </c>
      <c r="S5" s="6" t="s">
        <v>53</v>
      </c>
      <c r="T5" s="5" t="str">
        <f aca="false">IF(OR(U5="Y",V5="Y",W5="Y"),"Y","")</f>
        <v>Y</v>
      </c>
      <c r="U5" s="5" t="s">
        <v>54</v>
      </c>
      <c r="V5" s="5" t="s">
        <v>54</v>
      </c>
      <c r="W5" s="5" t="s">
        <v>54</v>
      </c>
      <c r="X5" s="5" t="s">
        <v>54</v>
      </c>
      <c r="Y5" s="5"/>
      <c r="Z5" s="5"/>
      <c r="AA5" s="5"/>
      <c r="AB5" s="7" t="n">
        <v>38788519</v>
      </c>
      <c r="AC5" s="8" t="s">
        <v>55</v>
      </c>
      <c r="AD5" s="6" t="s">
        <v>56</v>
      </c>
    </row>
    <row r="6" customFormat="false" ht="42.75" hidden="false" customHeight="true" outlineLevel="0" collapsed="false">
      <c r="A6" s="9" t="n">
        <v>2</v>
      </c>
      <c r="B6" s="10" t="s">
        <v>57</v>
      </c>
      <c r="C6" s="9" t="n">
        <v>2026</v>
      </c>
      <c r="D6" s="10" t="s">
        <v>58</v>
      </c>
      <c r="E6" s="10" t="s">
        <v>59</v>
      </c>
      <c r="F6" s="10" t="s">
        <v>60</v>
      </c>
      <c r="G6" s="10" t="s">
        <v>61</v>
      </c>
      <c r="H6" s="10" t="s">
        <v>49</v>
      </c>
      <c r="I6" s="9" t="s">
        <v>44</v>
      </c>
      <c r="J6" s="10" t="s">
        <v>62</v>
      </c>
      <c r="K6" s="10" t="s">
        <v>46</v>
      </c>
      <c r="L6" s="10" t="s">
        <v>63</v>
      </c>
      <c r="M6" s="10" t="s">
        <v>49</v>
      </c>
      <c r="N6" s="10" t="s">
        <v>64</v>
      </c>
      <c r="O6" s="10" t="s">
        <v>49</v>
      </c>
      <c r="P6" s="10" t="s">
        <v>65</v>
      </c>
      <c r="Q6" s="10" t="s">
        <v>66</v>
      </c>
      <c r="R6" s="10" t="s">
        <v>67</v>
      </c>
      <c r="S6" s="10" t="s">
        <v>68</v>
      </c>
      <c r="T6" s="9" t="str">
        <f aca="false">IF(OR(U6="Y",V6="Y",W6="Y"),"Y","")</f>
        <v>Y</v>
      </c>
      <c r="U6" s="9"/>
      <c r="V6" s="9" t="s">
        <v>54</v>
      </c>
      <c r="W6" s="9"/>
      <c r="X6" s="9"/>
      <c r="Y6" s="9"/>
      <c r="Z6" s="9"/>
      <c r="AA6" s="9"/>
      <c r="AB6" s="11" t="n">
        <v>42581816</v>
      </c>
      <c r="AC6" s="12" t="s">
        <v>69</v>
      </c>
      <c r="AD6" s="10" t="s">
        <v>70</v>
      </c>
    </row>
    <row r="7" customFormat="false" ht="55.5" hidden="false" customHeight="true" outlineLevel="0" collapsed="false">
      <c r="A7" s="5" t="n">
        <v>3</v>
      </c>
      <c r="B7" s="6" t="s">
        <v>71</v>
      </c>
      <c r="C7" s="5" t="n">
        <v>2022</v>
      </c>
      <c r="D7" s="6" t="s">
        <v>72</v>
      </c>
      <c r="E7" s="6" t="s">
        <v>73</v>
      </c>
      <c r="F7" s="6" t="s">
        <v>74</v>
      </c>
      <c r="G7" s="6" t="s">
        <v>75</v>
      </c>
      <c r="H7" s="6" t="s">
        <v>76</v>
      </c>
      <c r="I7" s="5" t="s">
        <v>77</v>
      </c>
      <c r="J7" s="6" t="s">
        <v>78</v>
      </c>
      <c r="K7" s="6" t="s">
        <v>79</v>
      </c>
      <c r="L7" s="6" t="s">
        <v>80</v>
      </c>
      <c r="M7" s="6" t="s">
        <v>81</v>
      </c>
      <c r="N7" s="6" t="s">
        <v>49</v>
      </c>
      <c r="O7" s="6" t="s">
        <v>49</v>
      </c>
      <c r="P7" s="6" t="s">
        <v>82</v>
      </c>
      <c r="Q7" s="6" t="s">
        <v>83</v>
      </c>
      <c r="R7" s="6" t="s">
        <v>84</v>
      </c>
      <c r="S7" s="6" t="s">
        <v>85</v>
      </c>
      <c r="T7" s="5" t="str">
        <f aca="false">IF(OR(U7="Y",V7="Y",W7="Y"),"Y","")</f>
        <v>Y</v>
      </c>
      <c r="U7" s="5" t="s">
        <v>54</v>
      </c>
      <c r="V7" s="5"/>
      <c r="W7" s="5"/>
      <c r="X7" s="5" t="s">
        <v>54</v>
      </c>
      <c r="Y7" s="5"/>
      <c r="Z7" s="5"/>
      <c r="AA7" s="5" t="s">
        <v>54</v>
      </c>
      <c r="AB7" s="7" t="n">
        <v>34511160</v>
      </c>
      <c r="AC7" s="8" t="s">
        <v>86</v>
      </c>
      <c r="AD7" s="6" t="s">
        <v>87</v>
      </c>
    </row>
    <row r="8" customFormat="false" ht="55.5" hidden="false" customHeight="true" outlineLevel="0" collapsed="false">
      <c r="A8" s="9" t="n">
        <v>4</v>
      </c>
      <c r="B8" s="10" t="s">
        <v>88</v>
      </c>
      <c r="C8" s="9" t="n">
        <v>2025</v>
      </c>
      <c r="D8" s="10" t="s">
        <v>89</v>
      </c>
      <c r="E8" s="10" t="s">
        <v>90</v>
      </c>
      <c r="F8" s="10" t="s">
        <v>91</v>
      </c>
      <c r="G8" s="10" t="s">
        <v>92</v>
      </c>
      <c r="H8" s="10" t="s">
        <v>93</v>
      </c>
      <c r="I8" s="13" t="n">
        <v>0.688</v>
      </c>
      <c r="J8" s="10" t="s">
        <v>94</v>
      </c>
      <c r="K8" s="10" t="s">
        <v>79</v>
      </c>
      <c r="L8" s="10" t="s">
        <v>95</v>
      </c>
      <c r="M8" s="10" t="s">
        <v>96</v>
      </c>
      <c r="N8" s="10" t="s">
        <v>49</v>
      </c>
      <c r="O8" s="10" t="s">
        <v>49</v>
      </c>
      <c r="P8" s="10" t="s">
        <v>97</v>
      </c>
      <c r="Q8" s="10" t="s">
        <v>98</v>
      </c>
      <c r="R8" s="10" t="s">
        <v>99</v>
      </c>
      <c r="S8" s="10" t="s">
        <v>100</v>
      </c>
      <c r="T8" s="9" t="str">
        <f aca="false">IF(OR(U8="Y",V8="Y",W8="Y"),"Y","")</f>
        <v>Y</v>
      </c>
      <c r="U8" s="9" t="s">
        <v>54</v>
      </c>
      <c r="V8" s="9"/>
      <c r="W8" s="9" t="s">
        <v>54</v>
      </c>
      <c r="X8" s="9" t="s">
        <v>54</v>
      </c>
      <c r="Y8" s="9"/>
      <c r="Z8" s="9"/>
      <c r="AA8" s="9" t="s">
        <v>54</v>
      </c>
      <c r="AB8" s="11" t="n">
        <v>41305630</v>
      </c>
      <c r="AC8" s="12" t="s">
        <v>101</v>
      </c>
      <c r="AD8" s="10" t="s">
        <v>102</v>
      </c>
    </row>
    <row r="9" customFormat="false" ht="42.75" hidden="false" customHeight="true" outlineLevel="0" collapsed="false">
      <c r="A9" s="5" t="n">
        <v>5</v>
      </c>
      <c r="B9" s="6" t="s">
        <v>103</v>
      </c>
      <c r="C9" s="5" t="n">
        <v>2021</v>
      </c>
      <c r="D9" s="6" t="s">
        <v>104</v>
      </c>
      <c r="E9" s="6" t="s">
        <v>105</v>
      </c>
      <c r="F9" s="6" t="s">
        <v>106</v>
      </c>
      <c r="G9" s="6" t="s">
        <v>107</v>
      </c>
      <c r="H9" s="6" t="s">
        <v>108</v>
      </c>
      <c r="I9" s="14" t="n">
        <v>0.5</v>
      </c>
      <c r="J9" s="6" t="s">
        <v>109</v>
      </c>
      <c r="K9" s="6" t="s">
        <v>110</v>
      </c>
      <c r="L9" s="6" t="s">
        <v>111</v>
      </c>
      <c r="M9" s="6" t="s">
        <v>112</v>
      </c>
      <c r="N9" s="6" t="s">
        <v>49</v>
      </c>
      <c r="O9" s="6" t="s">
        <v>113</v>
      </c>
      <c r="P9" s="6" t="s">
        <v>114</v>
      </c>
      <c r="Q9" s="6" t="s">
        <v>115</v>
      </c>
      <c r="R9" s="6" t="s">
        <v>116</v>
      </c>
      <c r="S9" s="6" t="s">
        <v>85</v>
      </c>
      <c r="T9" s="5" t="str">
        <f aca="false">IF(OR(U9="Y",V9="Y",W9="Y"),"Y","")</f>
        <v>Y</v>
      </c>
      <c r="U9" s="5" t="s">
        <v>54</v>
      </c>
      <c r="V9" s="5"/>
      <c r="W9" s="5"/>
      <c r="X9" s="5" t="s">
        <v>54</v>
      </c>
      <c r="Y9" s="5"/>
      <c r="Z9" s="5"/>
      <c r="AA9" s="5"/>
      <c r="AB9" s="7" t="n">
        <v>34017207</v>
      </c>
      <c r="AC9" s="8" t="s">
        <v>117</v>
      </c>
      <c r="AD9" s="6" t="s">
        <v>118</v>
      </c>
    </row>
    <row r="10" customFormat="false" ht="55.5" hidden="false" customHeight="true" outlineLevel="0" collapsed="false">
      <c r="A10" s="9" t="n">
        <v>6</v>
      </c>
      <c r="B10" s="10" t="s">
        <v>119</v>
      </c>
      <c r="C10" s="9" t="n">
        <v>2026</v>
      </c>
      <c r="D10" s="10" t="s">
        <v>120</v>
      </c>
      <c r="E10" s="10" t="s">
        <v>121</v>
      </c>
      <c r="F10" s="10" t="s">
        <v>122</v>
      </c>
      <c r="G10" s="10" t="s">
        <v>123</v>
      </c>
      <c r="H10" s="10" t="s">
        <v>124</v>
      </c>
      <c r="I10" s="13" t="n">
        <v>1</v>
      </c>
      <c r="J10" s="10" t="s">
        <v>125</v>
      </c>
      <c r="K10" s="10" t="s">
        <v>110</v>
      </c>
      <c r="L10" s="10" t="s">
        <v>126</v>
      </c>
      <c r="M10" s="10" t="s">
        <v>127</v>
      </c>
      <c r="N10" s="10" t="s">
        <v>49</v>
      </c>
      <c r="O10" s="10" t="s">
        <v>128</v>
      </c>
      <c r="P10" s="10" t="s">
        <v>129</v>
      </c>
      <c r="Q10" s="10" t="s">
        <v>130</v>
      </c>
      <c r="R10" s="10" t="s">
        <v>131</v>
      </c>
      <c r="S10" s="10" t="s">
        <v>132</v>
      </c>
      <c r="T10" s="9" t="str">
        <f aca="false">IF(OR(U10="Y",V10="Y",W10="Y"),"Y","")</f>
        <v>Y</v>
      </c>
      <c r="U10" s="9" t="s">
        <v>54</v>
      </c>
      <c r="V10" s="9"/>
      <c r="W10" s="9"/>
      <c r="X10" s="9" t="s">
        <v>54</v>
      </c>
      <c r="Y10" s="9"/>
      <c r="Z10" s="9"/>
      <c r="AA10" s="9" t="s">
        <v>54</v>
      </c>
      <c r="AB10" s="11" t="n">
        <v>41975458</v>
      </c>
      <c r="AC10" s="12" t="s">
        <v>133</v>
      </c>
      <c r="AD10" s="10" t="s">
        <v>134</v>
      </c>
    </row>
    <row r="11" customFormat="false" ht="55.5" hidden="false" customHeight="true" outlineLevel="0" collapsed="false">
      <c r="A11" s="5" t="n">
        <v>7</v>
      </c>
      <c r="B11" s="6" t="s">
        <v>135</v>
      </c>
      <c r="C11" s="5" t="n">
        <v>2025</v>
      </c>
      <c r="D11" s="6" t="s">
        <v>136</v>
      </c>
      <c r="E11" s="6" t="s">
        <v>137</v>
      </c>
      <c r="F11" s="6" t="s">
        <v>138</v>
      </c>
      <c r="G11" s="6" t="s">
        <v>139</v>
      </c>
      <c r="H11" s="6" t="s">
        <v>77</v>
      </c>
      <c r="I11" s="5" t="s">
        <v>77</v>
      </c>
      <c r="J11" s="6" t="s">
        <v>94</v>
      </c>
      <c r="K11" s="6" t="s">
        <v>79</v>
      </c>
      <c r="L11" s="6" t="s">
        <v>140</v>
      </c>
      <c r="M11" s="6" t="s">
        <v>141</v>
      </c>
      <c r="N11" s="6" t="s">
        <v>49</v>
      </c>
      <c r="O11" s="6" t="s">
        <v>49</v>
      </c>
      <c r="P11" s="6" t="s">
        <v>142</v>
      </c>
      <c r="Q11" s="6" t="s">
        <v>143</v>
      </c>
      <c r="R11" s="6" t="s">
        <v>144</v>
      </c>
      <c r="S11" s="6" t="s">
        <v>100</v>
      </c>
      <c r="T11" s="5" t="str">
        <f aca="false">IF(OR(U11="Y",V11="Y",W11="Y"),"Y","")</f>
        <v>Y</v>
      </c>
      <c r="U11" s="5" t="s">
        <v>54</v>
      </c>
      <c r="V11" s="5"/>
      <c r="W11" s="5" t="s">
        <v>54</v>
      </c>
      <c r="X11" s="5" t="s">
        <v>54</v>
      </c>
      <c r="Y11" s="5"/>
      <c r="Z11" s="5"/>
      <c r="AA11" s="5"/>
      <c r="AB11" s="7" t="n">
        <v>41232466</v>
      </c>
      <c r="AC11" s="8" t="s">
        <v>145</v>
      </c>
      <c r="AD11" s="6" t="s">
        <v>146</v>
      </c>
    </row>
    <row r="12" customFormat="false" ht="55.5" hidden="false" customHeight="true" outlineLevel="0" collapsed="false">
      <c r="A12" s="9" t="n">
        <v>8</v>
      </c>
      <c r="B12" s="10" t="s">
        <v>147</v>
      </c>
      <c r="C12" s="9" t="n">
        <v>2022</v>
      </c>
      <c r="D12" s="10" t="s">
        <v>148</v>
      </c>
      <c r="E12" s="10" t="s">
        <v>149</v>
      </c>
      <c r="F12" s="10" t="s">
        <v>106</v>
      </c>
      <c r="G12" s="10" t="s">
        <v>150</v>
      </c>
      <c r="H12" s="10" t="s">
        <v>151</v>
      </c>
      <c r="I12" s="9" t="s">
        <v>77</v>
      </c>
      <c r="J12" s="10" t="s">
        <v>79</v>
      </c>
      <c r="K12" s="10" t="s">
        <v>79</v>
      </c>
      <c r="L12" s="10" t="s">
        <v>152</v>
      </c>
      <c r="M12" s="10" t="s">
        <v>153</v>
      </c>
      <c r="N12" s="10" t="s">
        <v>154</v>
      </c>
      <c r="O12" s="10" t="s">
        <v>155</v>
      </c>
      <c r="P12" s="10" t="s">
        <v>156</v>
      </c>
      <c r="Q12" s="10" t="s">
        <v>157</v>
      </c>
      <c r="R12" s="10" t="s">
        <v>158</v>
      </c>
      <c r="S12" s="10" t="s">
        <v>159</v>
      </c>
      <c r="T12" s="9" t="str">
        <f aca="false">IF(OR(U12="Y",V12="Y",W12="Y"),"Y","")</f>
        <v>Y</v>
      </c>
      <c r="U12" s="9" t="s">
        <v>54</v>
      </c>
      <c r="V12" s="9"/>
      <c r="W12" s="9"/>
      <c r="X12" s="9" t="s">
        <v>54</v>
      </c>
      <c r="Y12" s="9" t="s">
        <v>54</v>
      </c>
      <c r="Z12" s="9"/>
      <c r="AA12" s="9"/>
      <c r="AB12" s="11" t="n">
        <v>35534102</v>
      </c>
      <c r="AC12" s="12" t="s">
        <v>160</v>
      </c>
      <c r="AD12" s="10" t="s">
        <v>161</v>
      </c>
    </row>
    <row r="13" customFormat="false" ht="42.75" hidden="false" customHeight="true" outlineLevel="0" collapsed="false">
      <c r="A13" s="5" t="n">
        <v>9</v>
      </c>
      <c r="B13" s="6" t="s">
        <v>162</v>
      </c>
      <c r="C13" s="5" t="n">
        <v>2023</v>
      </c>
      <c r="D13" s="6" t="s">
        <v>163</v>
      </c>
      <c r="E13" s="6" t="s">
        <v>90</v>
      </c>
      <c r="F13" s="6" t="s">
        <v>164</v>
      </c>
      <c r="G13" s="6" t="s">
        <v>165</v>
      </c>
      <c r="H13" s="6" t="s">
        <v>166</v>
      </c>
      <c r="I13" s="5" t="s">
        <v>77</v>
      </c>
      <c r="J13" s="6" t="s">
        <v>167</v>
      </c>
      <c r="K13" s="6" t="s">
        <v>79</v>
      </c>
      <c r="L13" s="6" t="s">
        <v>168</v>
      </c>
      <c r="M13" s="6" t="s">
        <v>169</v>
      </c>
      <c r="N13" s="6" t="s">
        <v>49</v>
      </c>
      <c r="O13" s="6" t="s">
        <v>49</v>
      </c>
      <c r="P13" s="6" t="s">
        <v>170</v>
      </c>
      <c r="Q13" s="6" t="s">
        <v>171</v>
      </c>
      <c r="R13" s="6" t="s">
        <v>172</v>
      </c>
      <c r="S13" s="6" t="s">
        <v>100</v>
      </c>
      <c r="T13" s="5" t="str">
        <f aca="false">IF(OR(U13="Y",V13="Y",W13="Y"),"Y","")</f>
        <v>Y</v>
      </c>
      <c r="U13" s="5"/>
      <c r="V13" s="5"/>
      <c r="W13" s="5" t="s">
        <v>54</v>
      </c>
      <c r="X13" s="5" t="s">
        <v>54</v>
      </c>
      <c r="Y13" s="5"/>
      <c r="Z13" s="5"/>
      <c r="AA13" s="5"/>
      <c r="AB13" s="7" t="n">
        <v>37375582</v>
      </c>
      <c r="AC13" s="8" t="s">
        <v>173</v>
      </c>
      <c r="AD13" s="6" t="s">
        <v>174</v>
      </c>
    </row>
    <row r="14" customFormat="false" ht="42.75" hidden="false" customHeight="true" outlineLevel="0" collapsed="false">
      <c r="A14" s="9" t="n">
        <v>10</v>
      </c>
      <c r="B14" s="10" t="s">
        <v>175</v>
      </c>
      <c r="C14" s="9" t="n">
        <v>2024</v>
      </c>
      <c r="D14" s="10" t="s">
        <v>176</v>
      </c>
      <c r="E14" s="10" t="s">
        <v>177</v>
      </c>
      <c r="F14" s="10" t="s">
        <v>41</v>
      </c>
      <c r="G14" s="10" t="s">
        <v>178</v>
      </c>
      <c r="H14" s="10" t="s">
        <v>179</v>
      </c>
      <c r="I14" s="9" t="s">
        <v>44</v>
      </c>
      <c r="J14" s="10" t="s">
        <v>180</v>
      </c>
      <c r="K14" s="10" t="s">
        <v>46</v>
      </c>
      <c r="L14" s="10" t="s">
        <v>181</v>
      </c>
      <c r="M14" s="10" t="s">
        <v>182</v>
      </c>
      <c r="N14" s="10" t="s">
        <v>49</v>
      </c>
      <c r="O14" s="10" t="s">
        <v>49</v>
      </c>
      <c r="P14" s="10" t="s">
        <v>183</v>
      </c>
      <c r="Q14" s="10" t="s">
        <v>184</v>
      </c>
      <c r="R14" s="10" t="s">
        <v>185</v>
      </c>
      <c r="S14" s="10" t="s">
        <v>100</v>
      </c>
      <c r="T14" s="9" t="str">
        <f aca="false">IF(OR(U14="Y",V14="Y",W14="Y"),"Y","")</f>
        <v>Y</v>
      </c>
      <c r="U14" s="9"/>
      <c r="V14" s="9" t="s">
        <v>54</v>
      </c>
      <c r="W14" s="9"/>
      <c r="X14" s="9" t="s">
        <v>54</v>
      </c>
      <c r="Y14" s="9"/>
      <c r="Z14" s="9"/>
      <c r="AA14" s="9"/>
      <c r="AB14" s="11" t="n">
        <v>39144285</v>
      </c>
      <c r="AC14" s="12" t="s">
        <v>186</v>
      </c>
      <c r="AD14" s="10" t="s">
        <v>187</v>
      </c>
    </row>
    <row r="15" customFormat="false" ht="42.75" hidden="false" customHeight="true" outlineLevel="0" collapsed="false">
      <c r="A15" s="5" t="n">
        <v>11</v>
      </c>
      <c r="B15" s="6" t="s">
        <v>188</v>
      </c>
      <c r="C15" s="5" t="n">
        <v>2026</v>
      </c>
      <c r="D15" s="6" t="s">
        <v>189</v>
      </c>
      <c r="E15" s="6" t="s">
        <v>190</v>
      </c>
      <c r="F15" s="6" t="s">
        <v>41</v>
      </c>
      <c r="G15" s="6" t="s">
        <v>191</v>
      </c>
      <c r="H15" s="6" t="s">
        <v>192</v>
      </c>
      <c r="I15" s="5" t="s">
        <v>44</v>
      </c>
      <c r="J15" s="6" t="s">
        <v>193</v>
      </c>
      <c r="K15" s="6" t="s">
        <v>46</v>
      </c>
      <c r="L15" s="6" t="s">
        <v>194</v>
      </c>
      <c r="M15" s="6" t="s">
        <v>195</v>
      </c>
      <c r="N15" s="6" t="s">
        <v>49</v>
      </c>
      <c r="O15" s="6" t="s">
        <v>49</v>
      </c>
      <c r="P15" s="6" t="s">
        <v>196</v>
      </c>
      <c r="Q15" s="6" t="s">
        <v>197</v>
      </c>
      <c r="R15" s="6" t="s">
        <v>198</v>
      </c>
      <c r="S15" s="6" t="s">
        <v>100</v>
      </c>
      <c r="T15" s="5" t="str">
        <f aca="false">IF(OR(U15="Y",V15="Y",W15="Y"),"Y","")</f>
        <v>Y</v>
      </c>
      <c r="U15" s="5"/>
      <c r="V15" s="5" t="s">
        <v>54</v>
      </c>
      <c r="W15" s="5"/>
      <c r="X15" s="5" t="s">
        <v>54</v>
      </c>
      <c r="Y15" s="5"/>
      <c r="Z15" s="5"/>
      <c r="AA15" s="5"/>
      <c r="AB15" s="7" t="n">
        <v>40498475</v>
      </c>
      <c r="AC15" s="8" t="s">
        <v>199</v>
      </c>
      <c r="AD15" s="6" t="s">
        <v>200</v>
      </c>
    </row>
    <row r="16" customFormat="false" ht="69" hidden="false" customHeight="true" outlineLevel="0" collapsed="false">
      <c r="A16" s="9" t="n">
        <v>12</v>
      </c>
      <c r="B16" s="10" t="s">
        <v>201</v>
      </c>
      <c r="C16" s="9" t="n">
        <v>2025</v>
      </c>
      <c r="D16" s="10" t="s">
        <v>202</v>
      </c>
      <c r="E16" s="10" t="s">
        <v>40</v>
      </c>
      <c r="F16" s="10" t="s">
        <v>41</v>
      </c>
      <c r="G16" s="10" t="s">
        <v>203</v>
      </c>
      <c r="H16" s="10" t="s">
        <v>204</v>
      </c>
      <c r="I16" s="9" t="s">
        <v>44</v>
      </c>
      <c r="J16" s="10" t="s">
        <v>205</v>
      </c>
      <c r="K16" s="10" t="s">
        <v>46</v>
      </c>
      <c r="L16" s="10" t="s">
        <v>206</v>
      </c>
      <c r="M16" s="10" t="s">
        <v>207</v>
      </c>
      <c r="N16" s="10" t="s">
        <v>49</v>
      </c>
      <c r="O16" s="10" t="s">
        <v>49</v>
      </c>
      <c r="P16" s="10" t="s">
        <v>208</v>
      </c>
      <c r="Q16" s="10" t="s">
        <v>209</v>
      </c>
      <c r="R16" s="10" t="s">
        <v>210</v>
      </c>
      <c r="S16" s="10" t="s">
        <v>100</v>
      </c>
      <c r="T16" s="9" t="str">
        <f aca="false">IF(OR(U16="Y",V16="Y",W16="Y"),"Y","")</f>
        <v>Y</v>
      </c>
      <c r="U16" s="9"/>
      <c r="V16" s="9" t="s">
        <v>54</v>
      </c>
      <c r="W16" s="9"/>
      <c r="X16" s="9" t="s">
        <v>54</v>
      </c>
      <c r="Y16" s="9"/>
      <c r="Z16" s="9"/>
      <c r="AA16" s="9"/>
      <c r="AB16" s="11" t="n">
        <v>41202521</v>
      </c>
      <c r="AC16" s="12" t="s">
        <v>211</v>
      </c>
      <c r="AD16" s="10" t="s">
        <v>212</v>
      </c>
    </row>
    <row r="17" customFormat="false" ht="42.75" hidden="false" customHeight="true" outlineLevel="0" collapsed="false">
      <c r="A17" s="5" t="n">
        <v>13</v>
      </c>
      <c r="B17" s="6" t="s">
        <v>213</v>
      </c>
      <c r="C17" s="5" t="n">
        <v>2025</v>
      </c>
      <c r="D17" s="6" t="s">
        <v>214</v>
      </c>
      <c r="E17" s="6" t="s">
        <v>215</v>
      </c>
      <c r="F17" s="6" t="s">
        <v>216</v>
      </c>
      <c r="G17" s="6" t="s">
        <v>217</v>
      </c>
      <c r="H17" s="6" t="s">
        <v>218</v>
      </c>
      <c r="I17" s="5" t="s">
        <v>44</v>
      </c>
      <c r="J17" s="6" t="s">
        <v>193</v>
      </c>
      <c r="K17" s="6" t="s">
        <v>46</v>
      </c>
      <c r="L17" s="6" t="s">
        <v>219</v>
      </c>
      <c r="M17" s="6" t="s">
        <v>220</v>
      </c>
      <c r="N17" s="6" t="s">
        <v>49</v>
      </c>
      <c r="O17" s="6" t="s">
        <v>49</v>
      </c>
      <c r="P17" s="6" t="s">
        <v>221</v>
      </c>
      <c r="Q17" s="6" t="s">
        <v>222</v>
      </c>
      <c r="R17" s="6" t="s">
        <v>223</v>
      </c>
      <c r="S17" s="6" t="s">
        <v>100</v>
      </c>
      <c r="T17" s="5" t="str">
        <f aca="false">IF(OR(U17="Y",V17="Y",W17="Y"),"Y","")</f>
        <v>Y</v>
      </c>
      <c r="U17" s="5"/>
      <c r="V17" s="5" t="s">
        <v>54</v>
      </c>
      <c r="W17" s="5"/>
      <c r="X17" s="5" t="s">
        <v>54</v>
      </c>
      <c r="Y17" s="5"/>
      <c r="Z17" s="5"/>
      <c r="AA17" s="5"/>
      <c r="AB17" s="7" t="n">
        <v>41208478</v>
      </c>
      <c r="AC17" s="8" t="s">
        <v>224</v>
      </c>
      <c r="AD17" s="6" t="s">
        <v>225</v>
      </c>
    </row>
    <row r="18" customFormat="false" ht="42.75" hidden="false" customHeight="true" outlineLevel="0" collapsed="false">
      <c r="A18" s="9" t="n">
        <v>14</v>
      </c>
      <c r="B18" s="10" t="s">
        <v>226</v>
      </c>
      <c r="C18" s="9" t="n">
        <v>2023</v>
      </c>
      <c r="D18" s="10" t="s">
        <v>227</v>
      </c>
      <c r="E18" s="10" t="s">
        <v>228</v>
      </c>
      <c r="F18" s="10" t="s">
        <v>164</v>
      </c>
      <c r="G18" s="10" t="s">
        <v>229</v>
      </c>
      <c r="H18" s="10" t="s">
        <v>230</v>
      </c>
      <c r="I18" s="9" t="s">
        <v>77</v>
      </c>
      <c r="J18" s="10" t="s">
        <v>231</v>
      </c>
      <c r="K18" s="10" t="s">
        <v>110</v>
      </c>
      <c r="L18" s="10" t="s">
        <v>232</v>
      </c>
      <c r="M18" s="10" t="s">
        <v>233</v>
      </c>
      <c r="N18" s="10" t="s">
        <v>49</v>
      </c>
      <c r="O18" s="10" t="s">
        <v>234</v>
      </c>
      <c r="P18" s="10" t="s">
        <v>235</v>
      </c>
      <c r="Q18" s="10" t="s">
        <v>236</v>
      </c>
      <c r="R18" s="10" t="s">
        <v>237</v>
      </c>
      <c r="S18" s="10" t="s">
        <v>238</v>
      </c>
      <c r="T18" s="9" t="str">
        <f aca="false">IF(OR(U18="Y",V18="Y",W18="Y"),"Y","")</f>
        <v>Y</v>
      </c>
      <c r="U18" s="9"/>
      <c r="V18" s="9" t="s">
        <v>54</v>
      </c>
      <c r="W18" s="9"/>
      <c r="X18" s="9" t="s">
        <v>54</v>
      </c>
      <c r="Y18" s="9"/>
      <c r="Z18" s="9"/>
      <c r="AA18" s="9"/>
      <c r="AB18" s="11" t="n">
        <v>37559551</v>
      </c>
      <c r="AC18" s="12" t="s">
        <v>239</v>
      </c>
      <c r="AD18" s="10" t="s">
        <v>240</v>
      </c>
    </row>
    <row r="19" customFormat="false" ht="42.75" hidden="false" customHeight="true" outlineLevel="0" collapsed="false">
      <c r="A19" s="5" t="n">
        <v>15</v>
      </c>
      <c r="B19" s="6" t="s">
        <v>103</v>
      </c>
      <c r="C19" s="5" t="n">
        <v>2025</v>
      </c>
      <c r="D19" s="6" t="s">
        <v>241</v>
      </c>
      <c r="E19" s="6" t="s">
        <v>242</v>
      </c>
      <c r="F19" s="6" t="s">
        <v>106</v>
      </c>
      <c r="G19" s="6" t="s">
        <v>243</v>
      </c>
      <c r="H19" s="6" t="s">
        <v>244</v>
      </c>
      <c r="I19" s="14" t="n">
        <v>0.92</v>
      </c>
      <c r="J19" s="6" t="s">
        <v>245</v>
      </c>
      <c r="K19" s="6" t="s">
        <v>110</v>
      </c>
      <c r="L19" s="6" t="s">
        <v>246</v>
      </c>
      <c r="M19" s="6" t="s">
        <v>247</v>
      </c>
      <c r="N19" s="6" t="s">
        <v>49</v>
      </c>
      <c r="O19" s="6" t="s">
        <v>234</v>
      </c>
      <c r="P19" s="6" t="s">
        <v>248</v>
      </c>
      <c r="Q19" s="6" t="s">
        <v>249</v>
      </c>
      <c r="R19" s="6" t="s">
        <v>250</v>
      </c>
      <c r="S19" s="6" t="s">
        <v>238</v>
      </c>
      <c r="T19" s="5" t="str">
        <f aca="false">IF(OR(U19="Y",V19="Y",W19="Y"),"Y","")</f>
        <v>Y</v>
      </c>
      <c r="U19" s="5"/>
      <c r="V19" s="5" t="s">
        <v>54</v>
      </c>
      <c r="W19" s="5"/>
      <c r="X19" s="5" t="s">
        <v>54</v>
      </c>
      <c r="Y19" s="5"/>
      <c r="Z19" s="5"/>
      <c r="AA19" s="5"/>
      <c r="AB19" s="7" t="n">
        <v>40241264</v>
      </c>
      <c r="AC19" s="8" t="s">
        <v>251</v>
      </c>
      <c r="AD19" s="6" t="s">
        <v>252</v>
      </c>
    </row>
    <row r="20" customFormat="false" ht="55.5" hidden="false" customHeight="true" outlineLevel="0" collapsed="false">
      <c r="A20" s="9" t="n">
        <v>16</v>
      </c>
      <c r="B20" s="10" t="s">
        <v>253</v>
      </c>
      <c r="C20" s="9" t="n">
        <v>2026</v>
      </c>
      <c r="D20" s="10" t="s">
        <v>254</v>
      </c>
      <c r="E20" s="10" t="s">
        <v>177</v>
      </c>
      <c r="F20" s="10" t="s">
        <v>255</v>
      </c>
      <c r="G20" s="10" t="s">
        <v>256</v>
      </c>
      <c r="H20" s="10" t="s">
        <v>257</v>
      </c>
      <c r="I20" s="13" t="n">
        <v>1</v>
      </c>
      <c r="J20" s="10" t="s">
        <v>258</v>
      </c>
      <c r="K20" s="10" t="s">
        <v>110</v>
      </c>
      <c r="L20" s="10" t="s">
        <v>259</v>
      </c>
      <c r="M20" s="10" t="s">
        <v>260</v>
      </c>
      <c r="N20" s="10" t="s">
        <v>49</v>
      </c>
      <c r="O20" s="10" t="s">
        <v>234</v>
      </c>
      <c r="P20" s="10" t="s">
        <v>261</v>
      </c>
      <c r="Q20" s="10" t="s">
        <v>262</v>
      </c>
      <c r="R20" s="10" t="s">
        <v>263</v>
      </c>
      <c r="S20" s="10" t="s">
        <v>264</v>
      </c>
      <c r="T20" s="9" t="str">
        <f aca="false">IF(OR(U20="Y",V20="Y",W20="Y"),"Y","")</f>
        <v>Y</v>
      </c>
      <c r="U20" s="9"/>
      <c r="V20" s="9" t="s">
        <v>54</v>
      </c>
      <c r="W20" s="9"/>
      <c r="X20" s="9" t="s">
        <v>54</v>
      </c>
      <c r="Y20" s="9"/>
      <c r="Z20" s="9"/>
      <c r="AA20" s="9" t="s">
        <v>54</v>
      </c>
      <c r="AB20" s="11" t="n">
        <v>42272904</v>
      </c>
      <c r="AC20" s="12" t="s">
        <v>265</v>
      </c>
      <c r="AD20" s="10" t="s">
        <v>266</v>
      </c>
    </row>
    <row r="21" customFormat="false" ht="42.75" hidden="false" customHeight="true" outlineLevel="0" collapsed="false">
      <c r="A21" s="5" t="n">
        <v>17</v>
      </c>
      <c r="B21" s="6" t="s">
        <v>267</v>
      </c>
      <c r="C21" s="5" t="n">
        <v>2024</v>
      </c>
      <c r="D21" s="6" t="s">
        <v>268</v>
      </c>
      <c r="E21" s="6" t="s">
        <v>90</v>
      </c>
      <c r="F21" s="6" t="s">
        <v>106</v>
      </c>
      <c r="G21" s="6" t="s">
        <v>269</v>
      </c>
      <c r="H21" s="6" t="s">
        <v>270</v>
      </c>
      <c r="I21" s="5" t="s">
        <v>77</v>
      </c>
      <c r="J21" s="6" t="s">
        <v>271</v>
      </c>
      <c r="K21" s="6" t="s">
        <v>110</v>
      </c>
      <c r="L21" s="6" t="s">
        <v>272</v>
      </c>
      <c r="M21" s="6" t="s">
        <v>273</v>
      </c>
      <c r="N21" s="6" t="s">
        <v>49</v>
      </c>
      <c r="O21" s="6" t="s">
        <v>49</v>
      </c>
      <c r="P21" s="6" t="s">
        <v>274</v>
      </c>
      <c r="Q21" s="6" t="s">
        <v>275</v>
      </c>
      <c r="R21" s="6" t="s">
        <v>276</v>
      </c>
      <c r="S21" s="6" t="s">
        <v>100</v>
      </c>
      <c r="T21" s="5" t="str">
        <f aca="false">IF(OR(U21="Y",V21="Y",W21="Y"),"Y","")</f>
        <v>Y</v>
      </c>
      <c r="U21" s="5"/>
      <c r="V21" s="5" t="s">
        <v>54</v>
      </c>
      <c r="W21" s="5"/>
      <c r="X21" s="5" t="s">
        <v>54</v>
      </c>
      <c r="Y21" s="5"/>
      <c r="Z21" s="5"/>
      <c r="AA21" s="5"/>
      <c r="AB21" s="7" t="n">
        <v>39458522</v>
      </c>
      <c r="AC21" s="8" t="s">
        <v>277</v>
      </c>
      <c r="AD21" s="6" t="s">
        <v>278</v>
      </c>
    </row>
    <row r="22" customFormat="false" ht="55.5" hidden="false" customHeight="true" outlineLevel="0" collapsed="false">
      <c r="A22" s="9" t="n">
        <v>18</v>
      </c>
      <c r="B22" s="10" t="s">
        <v>279</v>
      </c>
      <c r="C22" s="9" t="n">
        <v>2024</v>
      </c>
      <c r="D22" s="10" t="s">
        <v>280</v>
      </c>
      <c r="E22" s="10" t="s">
        <v>281</v>
      </c>
      <c r="F22" s="10" t="s">
        <v>282</v>
      </c>
      <c r="G22" s="10" t="s">
        <v>283</v>
      </c>
      <c r="H22" s="10" t="s">
        <v>284</v>
      </c>
      <c r="I22" s="9" t="s">
        <v>77</v>
      </c>
      <c r="J22" s="10" t="s">
        <v>285</v>
      </c>
      <c r="K22" s="10" t="s">
        <v>286</v>
      </c>
      <c r="L22" s="10" t="s">
        <v>287</v>
      </c>
      <c r="M22" s="10" t="s">
        <v>288</v>
      </c>
      <c r="N22" s="10" t="s">
        <v>49</v>
      </c>
      <c r="O22" s="10" t="s">
        <v>234</v>
      </c>
      <c r="P22" s="10" t="s">
        <v>289</v>
      </c>
      <c r="Q22" s="10" t="s">
        <v>290</v>
      </c>
      <c r="R22" s="10" t="s">
        <v>291</v>
      </c>
      <c r="S22" s="10" t="s">
        <v>238</v>
      </c>
      <c r="T22" s="9" t="str">
        <f aca="false">IF(OR(U22="Y",V22="Y",W22="Y"),"Y","")</f>
        <v>Y</v>
      </c>
      <c r="U22" s="9"/>
      <c r="V22" s="9" t="s">
        <v>54</v>
      </c>
      <c r="W22" s="9"/>
      <c r="X22" s="9" t="s">
        <v>54</v>
      </c>
      <c r="Y22" s="9"/>
      <c r="Z22" s="9"/>
      <c r="AA22" s="9"/>
      <c r="AB22" s="11" t="n">
        <v>39182275</v>
      </c>
      <c r="AC22" s="12" t="s">
        <v>292</v>
      </c>
      <c r="AD22" s="10" t="s">
        <v>293</v>
      </c>
    </row>
    <row r="23" customFormat="false" ht="42.75" hidden="false" customHeight="true" outlineLevel="0" collapsed="false">
      <c r="A23" s="5" t="n">
        <v>19</v>
      </c>
      <c r="B23" s="6" t="s">
        <v>294</v>
      </c>
      <c r="C23" s="5" t="n">
        <v>2023</v>
      </c>
      <c r="D23" s="6" t="s">
        <v>295</v>
      </c>
      <c r="E23" s="6" t="s">
        <v>242</v>
      </c>
      <c r="F23" s="6" t="s">
        <v>106</v>
      </c>
      <c r="G23" s="6" t="s">
        <v>296</v>
      </c>
      <c r="H23" s="6" t="s">
        <v>297</v>
      </c>
      <c r="I23" s="5" t="s">
        <v>77</v>
      </c>
      <c r="J23" s="6" t="s">
        <v>298</v>
      </c>
      <c r="K23" s="6" t="s">
        <v>299</v>
      </c>
      <c r="L23" s="6" t="s">
        <v>300</v>
      </c>
      <c r="M23" s="6" t="s">
        <v>301</v>
      </c>
      <c r="N23" s="6" t="s">
        <v>49</v>
      </c>
      <c r="O23" s="6" t="s">
        <v>234</v>
      </c>
      <c r="P23" s="6" t="s">
        <v>302</v>
      </c>
      <c r="Q23" s="6" t="s">
        <v>303</v>
      </c>
      <c r="R23" s="6" t="s">
        <v>304</v>
      </c>
      <c r="S23" s="6" t="s">
        <v>305</v>
      </c>
      <c r="T23" s="5" t="str">
        <f aca="false">IF(OR(U23="Y",V23="Y",W23="Y"),"Y","")</f>
        <v>Y</v>
      </c>
      <c r="U23" s="5" t="s">
        <v>54</v>
      </c>
      <c r="V23" s="5" t="s">
        <v>54</v>
      </c>
      <c r="W23" s="5"/>
      <c r="X23" s="5" t="s">
        <v>54</v>
      </c>
      <c r="Y23" s="5"/>
      <c r="Z23" s="5"/>
      <c r="AA23" s="5"/>
      <c r="AB23" s="7" t="n">
        <v>37083715</v>
      </c>
      <c r="AC23" s="8" t="s">
        <v>306</v>
      </c>
      <c r="AD23" s="6" t="s">
        <v>307</v>
      </c>
    </row>
    <row r="24" customFormat="false" ht="55.5" hidden="false" customHeight="true" outlineLevel="0" collapsed="false">
      <c r="A24" s="9" t="n">
        <v>20</v>
      </c>
      <c r="B24" s="10" t="s">
        <v>308</v>
      </c>
      <c r="C24" s="9" t="n">
        <v>2023</v>
      </c>
      <c r="D24" s="10" t="s">
        <v>309</v>
      </c>
      <c r="E24" s="10" t="s">
        <v>228</v>
      </c>
      <c r="F24" s="10" t="s">
        <v>310</v>
      </c>
      <c r="G24" s="10" t="s">
        <v>311</v>
      </c>
      <c r="H24" s="10" t="s">
        <v>312</v>
      </c>
      <c r="I24" s="13" t="n">
        <v>0.723076923076923</v>
      </c>
      <c r="J24" s="10" t="s">
        <v>313</v>
      </c>
      <c r="K24" s="10" t="s">
        <v>110</v>
      </c>
      <c r="L24" s="10" t="s">
        <v>314</v>
      </c>
      <c r="M24" s="10" t="s">
        <v>315</v>
      </c>
      <c r="N24" s="10" t="s">
        <v>49</v>
      </c>
      <c r="O24" s="10" t="s">
        <v>49</v>
      </c>
      <c r="P24" s="10" t="s">
        <v>316</v>
      </c>
      <c r="Q24" s="10" t="s">
        <v>317</v>
      </c>
      <c r="R24" s="10" t="s">
        <v>318</v>
      </c>
      <c r="S24" s="10" t="s">
        <v>100</v>
      </c>
      <c r="T24" s="9" t="str">
        <f aca="false">IF(OR(U24="Y",V24="Y",W24="Y"),"Y","")</f>
        <v>Y</v>
      </c>
      <c r="U24" s="9" t="s">
        <v>54</v>
      </c>
      <c r="V24" s="9"/>
      <c r="W24" s="9" t="s">
        <v>54</v>
      </c>
      <c r="X24" s="9" t="s">
        <v>54</v>
      </c>
      <c r="Y24" s="9"/>
      <c r="Z24" s="9"/>
      <c r="AA24" s="9"/>
      <c r="AB24" s="11" t="n">
        <v>37409467</v>
      </c>
      <c r="AC24" s="12" t="s">
        <v>319</v>
      </c>
      <c r="AD24" s="10" t="s">
        <v>320</v>
      </c>
    </row>
    <row r="25" customFormat="false" ht="42.75" hidden="false" customHeight="true" outlineLevel="0" collapsed="false">
      <c r="A25" s="5" t="n">
        <v>21</v>
      </c>
      <c r="B25" s="6" t="s">
        <v>321</v>
      </c>
      <c r="C25" s="5" t="n">
        <v>2023</v>
      </c>
      <c r="D25" s="6" t="s">
        <v>322</v>
      </c>
      <c r="E25" s="6" t="s">
        <v>323</v>
      </c>
      <c r="F25" s="6" t="s">
        <v>122</v>
      </c>
      <c r="G25" s="6" t="s">
        <v>324</v>
      </c>
      <c r="H25" s="6" t="s">
        <v>325</v>
      </c>
      <c r="I25" s="14" t="n">
        <v>0.541666666666667</v>
      </c>
      <c r="J25" s="6" t="s">
        <v>326</v>
      </c>
      <c r="K25" s="6" t="s">
        <v>110</v>
      </c>
      <c r="L25" s="6" t="s">
        <v>327</v>
      </c>
      <c r="M25" s="6" t="s">
        <v>328</v>
      </c>
      <c r="N25" s="6" t="s">
        <v>49</v>
      </c>
      <c r="O25" s="6" t="s">
        <v>49</v>
      </c>
      <c r="P25" s="6" t="s">
        <v>329</v>
      </c>
      <c r="Q25" s="6" t="s">
        <v>330</v>
      </c>
      <c r="R25" s="6" t="s">
        <v>331</v>
      </c>
      <c r="S25" s="6" t="s">
        <v>100</v>
      </c>
      <c r="T25" s="5" t="str">
        <f aca="false">IF(OR(U25="Y",V25="Y",W25="Y"),"Y","")</f>
        <v>Y</v>
      </c>
      <c r="U25" s="5"/>
      <c r="V25" s="5"/>
      <c r="W25" s="5" t="s">
        <v>54</v>
      </c>
      <c r="X25" s="5" t="s">
        <v>54</v>
      </c>
      <c r="Y25" s="5"/>
      <c r="Z25" s="5"/>
      <c r="AA25" s="5"/>
      <c r="AB25" s="7" t="n">
        <v>37562755</v>
      </c>
      <c r="AC25" s="8" t="s">
        <v>332</v>
      </c>
      <c r="AD25" s="6" t="s">
        <v>333</v>
      </c>
    </row>
    <row r="26" customFormat="false" ht="55.5" hidden="false" customHeight="true" outlineLevel="0" collapsed="false">
      <c r="A26" s="9" t="n">
        <v>22</v>
      </c>
      <c r="B26" s="10" t="s">
        <v>334</v>
      </c>
      <c r="C26" s="9" t="n">
        <v>2025</v>
      </c>
      <c r="D26" s="10" t="s">
        <v>335</v>
      </c>
      <c r="E26" s="10" t="s">
        <v>242</v>
      </c>
      <c r="F26" s="10" t="s">
        <v>336</v>
      </c>
      <c r="G26" s="10" t="s">
        <v>337</v>
      </c>
      <c r="H26" s="10" t="s">
        <v>338</v>
      </c>
      <c r="I26" s="13" t="n">
        <v>0.671</v>
      </c>
      <c r="J26" s="10" t="s">
        <v>339</v>
      </c>
      <c r="K26" s="10" t="s">
        <v>79</v>
      </c>
      <c r="L26" s="10" t="s">
        <v>340</v>
      </c>
      <c r="M26" s="10" t="s">
        <v>341</v>
      </c>
      <c r="N26" s="10" t="s">
        <v>49</v>
      </c>
      <c r="O26" s="10" t="s">
        <v>49</v>
      </c>
      <c r="P26" s="10" t="s">
        <v>342</v>
      </c>
      <c r="Q26" s="10" t="s">
        <v>343</v>
      </c>
      <c r="R26" s="10" t="s">
        <v>344</v>
      </c>
      <c r="S26" s="10" t="s">
        <v>100</v>
      </c>
      <c r="T26" s="9" t="str">
        <f aca="false">IF(OR(U26="Y",V26="Y",W26="Y"),"Y","")</f>
        <v>Y</v>
      </c>
      <c r="U26" s="9" t="s">
        <v>54</v>
      </c>
      <c r="V26" s="9" t="s">
        <v>54</v>
      </c>
      <c r="W26" s="9"/>
      <c r="X26" s="9" t="s">
        <v>54</v>
      </c>
      <c r="Y26" s="9"/>
      <c r="Z26" s="9"/>
      <c r="AA26" s="9"/>
      <c r="AB26" s="11" t="n">
        <v>40832902</v>
      </c>
      <c r="AC26" s="12" t="s">
        <v>345</v>
      </c>
      <c r="AD26" s="10" t="s">
        <v>346</v>
      </c>
    </row>
    <row r="27" customFormat="false" ht="42.75" hidden="false" customHeight="true" outlineLevel="0" collapsed="false">
      <c r="A27" s="5" t="n">
        <v>23</v>
      </c>
      <c r="B27" s="6" t="s">
        <v>347</v>
      </c>
      <c r="C27" s="5" t="n">
        <v>2026</v>
      </c>
      <c r="D27" s="6" t="s">
        <v>348</v>
      </c>
      <c r="E27" s="6" t="s">
        <v>349</v>
      </c>
      <c r="F27" s="6" t="s">
        <v>106</v>
      </c>
      <c r="G27" s="6" t="s">
        <v>350</v>
      </c>
      <c r="H27" s="6" t="s">
        <v>351</v>
      </c>
      <c r="I27" s="5" t="s">
        <v>77</v>
      </c>
      <c r="J27" s="6" t="s">
        <v>352</v>
      </c>
      <c r="K27" s="6" t="s">
        <v>110</v>
      </c>
      <c r="L27" s="6" t="s">
        <v>353</v>
      </c>
      <c r="M27" s="6" t="s">
        <v>354</v>
      </c>
      <c r="N27" s="6" t="s">
        <v>355</v>
      </c>
      <c r="O27" s="6" t="s">
        <v>49</v>
      </c>
      <c r="P27" s="6" t="s">
        <v>356</v>
      </c>
      <c r="Q27" s="6" t="s">
        <v>357</v>
      </c>
      <c r="R27" s="6" t="s">
        <v>358</v>
      </c>
      <c r="S27" s="6" t="s">
        <v>359</v>
      </c>
      <c r="T27" s="5" t="str">
        <f aca="false">IF(OR(U27="Y",V27="Y",W27="Y"),"Y","")</f>
        <v>Y</v>
      </c>
      <c r="U27" s="5" t="s">
        <v>54</v>
      </c>
      <c r="V27" s="5" t="s">
        <v>54</v>
      </c>
      <c r="W27" s="5"/>
      <c r="X27" s="5"/>
      <c r="Y27" s="5" t="s">
        <v>54</v>
      </c>
      <c r="Z27" s="5"/>
      <c r="AA27" s="5"/>
      <c r="AB27" s="7" t="n">
        <v>41674465</v>
      </c>
      <c r="AC27" s="8" t="s">
        <v>360</v>
      </c>
      <c r="AD27" s="6" t="s">
        <v>361</v>
      </c>
    </row>
    <row r="28" customFormat="false" ht="55.5" hidden="false" customHeight="true" outlineLevel="0" collapsed="false">
      <c r="A28" s="9" t="n">
        <v>24</v>
      </c>
      <c r="B28" s="10" t="s">
        <v>362</v>
      </c>
      <c r="C28" s="9" t="n">
        <v>2025</v>
      </c>
      <c r="D28" s="10" t="s">
        <v>363</v>
      </c>
      <c r="E28" s="10" t="s">
        <v>364</v>
      </c>
      <c r="F28" s="10" t="s">
        <v>106</v>
      </c>
      <c r="G28" s="10" t="s">
        <v>365</v>
      </c>
      <c r="H28" s="10" t="s">
        <v>108</v>
      </c>
      <c r="I28" s="9" t="s">
        <v>77</v>
      </c>
      <c r="J28" s="10" t="s">
        <v>366</v>
      </c>
      <c r="K28" s="10" t="s">
        <v>110</v>
      </c>
      <c r="L28" s="10" t="s">
        <v>367</v>
      </c>
      <c r="M28" s="10" t="s">
        <v>368</v>
      </c>
      <c r="N28" s="10" t="s">
        <v>369</v>
      </c>
      <c r="O28" s="10" t="s">
        <v>49</v>
      </c>
      <c r="P28" s="10" t="s">
        <v>370</v>
      </c>
      <c r="Q28" s="10" t="s">
        <v>371</v>
      </c>
      <c r="R28" s="10" t="s">
        <v>372</v>
      </c>
      <c r="S28" s="10" t="s">
        <v>359</v>
      </c>
      <c r="T28" s="9" t="str">
        <f aca="false">IF(OR(U28="Y",V28="Y",W28="Y"),"Y","")</f>
        <v>Y</v>
      </c>
      <c r="U28" s="9" t="s">
        <v>54</v>
      </c>
      <c r="V28" s="9"/>
      <c r="W28" s="9"/>
      <c r="X28" s="9"/>
      <c r="Y28" s="9" t="s">
        <v>54</v>
      </c>
      <c r="Z28" s="9"/>
      <c r="AA28" s="9"/>
      <c r="AB28" s="11" t="n">
        <v>40199860</v>
      </c>
      <c r="AC28" s="12" t="s">
        <v>373</v>
      </c>
      <c r="AD28" s="10" t="s">
        <v>374</v>
      </c>
    </row>
    <row r="29" customFormat="false" ht="42.75" hidden="false" customHeight="true" outlineLevel="0" collapsed="false">
      <c r="A29" s="5" t="n">
        <v>25</v>
      </c>
      <c r="B29" s="6" t="s">
        <v>375</v>
      </c>
      <c r="C29" s="5" t="n">
        <v>2022</v>
      </c>
      <c r="D29" s="6" t="s">
        <v>376</v>
      </c>
      <c r="E29" s="6" t="s">
        <v>377</v>
      </c>
      <c r="F29" s="6" t="s">
        <v>106</v>
      </c>
      <c r="G29" s="6" t="s">
        <v>378</v>
      </c>
      <c r="H29" s="6" t="s">
        <v>379</v>
      </c>
      <c r="I29" s="14" t="n">
        <v>0.368421052631579</v>
      </c>
      <c r="J29" s="6" t="s">
        <v>380</v>
      </c>
      <c r="K29" s="6" t="s">
        <v>110</v>
      </c>
      <c r="L29" s="6" t="s">
        <v>381</v>
      </c>
      <c r="M29" s="6" t="s">
        <v>49</v>
      </c>
      <c r="N29" s="6" t="s">
        <v>49</v>
      </c>
      <c r="O29" s="6" t="s">
        <v>49</v>
      </c>
      <c r="P29" s="6" t="s">
        <v>382</v>
      </c>
      <c r="Q29" s="6" t="s">
        <v>383</v>
      </c>
      <c r="R29" s="6" t="s">
        <v>384</v>
      </c>
      <c r="S29" s="6" t="s">
        <v>385</v>
      </c>
      <c r="T29" s="5" t="str">
        <f aca="false">IF(OR(U29="Y",V29="Y",W29="Y"),"Y","")</f>
        <v>Y</v>
      </c>
      <c r="U29" s="5" t="s">
        <v>54</v>
      </c>
      <c r="V29" s="5"/>
      <c r="W29" s="5"/>
      <c r="X29" s="5"/>
      <c r="Y29" s="5"/>
      <c r="Z29" s="5"/>
      <c r="AA29" s="5"/>
      <c r="AB29" s="7" t="n">
        <v>36095195</v>
      </c>
      <c r="AC29" s="8" t="s">
        <v>386</v>
      </c>
      <c r="AD29" s="6" t="s">
        <v>387</v>
      </c>
    </row>
    <row r="30" customFormat="false" ht="55.5" hidden="false" customHeight="true" outlineLevel="0" collapsed="false">
      <c r="A30" s="9" t="n">
        <v>26</v>
      </c>
      <c r="B30" s="10" t="s">
        <v>388</v>
      </c>
      <c r="C30" s="9" t="n">
        <v>2021</v>
      </c>
      <c r="D30" s="10" t="s">
        <v>389</v>
      </c>
      <c r="E30" s="10" t="s">
        <v>390</v>
      </c>
      <c r="F30" s="10" t="s">
        <v>391</v>
      </c>
      <c r="G30" s="10" t="s">
        <v>392</v>
      </c>
      <c r="H30" s="10" t="s">
        <v>393</v>
      </c>
      <c r="I30" s="13" t="n">
        <v>0.48</v>
      </c>
      <c r="J30" s="10" t="s">
        <v>394</v>
      </c>
      <c r="K30" s="10" t="s">
        <v>286</v>
      </c>
      <c r="L30" s="10" t="s">
        <v>395</v>
      </c>
      <c r="M30" s="10" t="s">
        <v>49</v>
      </c>
      <c r="N30" s="10" t="s">
        <v>396</v>
      </c>
      <c r="O30" s="10" t="s">
        <v>49</v>
      </c>
      <c r="P30" s="10" t="s">
        <v>397</v>
      </c>
      <c r="Q30" s="10" t="s">
        <v>398</v>
      </c>
      <c r="R30" s="10" t="s">
        <v>399</v>
      </c>
      <c r="S30" s="10" t="s">
        <v>385</v>
      </c>
      <c r="T30" s="9" t="str">
        <f aca="false">IF(OR(U30="Y",V30="Y",W30="Y"),"Y","")</f>
        <v>Y</v>
      </c>
      <c r="U30" s="9"/>
      <c r="V30" s="9" t="s">
        <v>54</v>
      </c>
      <c r="W30" s="9"/>
      <c r="X30" s="9"/>
      <c r="Y30" s="9" t="s">
        <v>54</v>
      </c>
      <c r="Z30" s="9"/>
      <c r="AA30" s="9"/>
      <c r="AB30" s="11" t="n">
        <v>33859841</v>
      </c>
      <c r="AC30" s="12" t="s">
        <v>400</v>
      </c>
      <c r="AD30" s="10" t="s">
        <v>401</v>
      </c>
    </row>
    <row r="31" customFormat="false" ht="55.5" hidden="false" customHeight="true" outlineLevel="0" collapsed="false">
      <c r="A31" s="5" t="n">
        <v>27</v>
      </c>
      <c r="B31" s="6" t="s">
        <v>402</v>
      </c>
      <c r="C31" s="5" t="n">
        <v>2025</v>
      </c>
      <c r="D31" s="6" t="s">
        <v>403</v>
      </c>
      <c r="E31" s="6" t="s">
        <v>404</v>
      </c>
      <c r="F31" s="6" t="s">
        <v>255</v>
      </c>
      <c r="G31" s="6" t="s">
        <v>405</v>
      </c>
      <c r="H31" s="6" t="s">
        <v>406</v>
      </c>
      <c r="I31" s="14" t="n">
        <v>0.66</v>
      </c>
      <c r="J31" s="6" t="s">
        <v>407</v>
      </c>
      <c r="K31" s="6" t="s">
        <v>408</v>
      </c>
      <c r="L31" s="6" t="s">
        <v>409</v>
      </c>
      <c r="M31" s="6" t="s">
        <v>410</v>
      </c>
      <c r="N31" s="6" t="s">
        <v>411</v>
      </c>
      <c r="O31" s="6" t="s">
        <v>412</v>
      </c>
      <c r="P31" s="6" t="s">
        <v>413</v>
      </c>
      <c r="Q31" s="6" t="s">
        <v>414</v>
      </c>
      <c r="R31" s="6" t="s">
        <v>415</v>
      </c>
      <c r="S31" s="6" t="s">
        <v>416</v>
      </c>
      <c r="T31" s="5" t="str">
        <f aca="false">IF(OR(U31="Y",V31="Y",W31="Y"),"Y","")</f>
        <v>Y</v>
      </c>
      <c r="U31" s="5"/>
      <c r="V31" s="5" t="s">
        <v>54</v>
      </c>
      <c r="W31" s="5"/>
      <c r="X31" s="5" t="s">
        <v>54</v>
      </c>
      <c r="Y31" s="5" t="s">
        <v>54</v>
      </c>
      <c r="Z31" s="5" t="s">
        <v>54</v>
      </c>
      <c r="AA31" s="5"/>
      <c r="AB31" s="7" t="n">
        <v>40797465</v>
      </c>
      <c r="AC31" s="8" t="s">
        <v>417</v>
      </c>
      <c r="AD31" s="6" t="s">
        <v>418</v>
      </c>
    </row>
    <row r="32" customFormat="false" ht="42.75" hidden="false" customHeight="true" outlineLevel="0" collapsed="false">
      <c r="A32" s="9" t="n">
        <v>28</v>
      </c>
      <c r="B32" s="10" t="s">
        <v>419</v>
      </c>
      <c r="C32" s="9" t="n">
        <v>2025</v>
      </c>
      <c r="D32" s="10" t="s">
        <v>420</v>
      </c>
      <c r="E32" s="10" t="s">
        <v>421</v>
      </c>
      <c r="F32" s="10" t="s">
        <v>41</v>
      </c>
      <c r="G32" s="10" t="s">
        <v>422</v>
      </c>
      <c r="H32" s="10" t="s">
        <v>423</v>
      </c>
      <c r="I32" s="9" t="s">
        <v>44</v>
      </c>
      <c r="J32" s="10" t="s">
        <v>193</v>
      </c>
      <c r="K32" s="10" t="s">
        <v>46</v>
      </c>
      <c r="L32" s="10" t="s">
        <v>49</v>
      </c>
      <c r="M32" s="10" t="s">
        <v>424</v>
      </c>
      <c r="N32" s="10" t="s">
        <v>425</v>
      </c>
      <c r="O32" s="10" t="s">
        <v>49</v>
      </c>
      <c r="P32" s="10" t="s">
        <v>426</v>
      </c>
      <c r="Q32" s="10" t="s">
        <v>427</v>
      </c>
      <c r="R32" s="10" t="s">
        <v>428</v>
      </c>
      <c r="S32" s="10" t="s">
        <v>429</v>
      </c>
      <c r="T32" s="9" t="str">
        <f aca="false">IF(OR(U32="Y",V32="Y",W32="Y"),"Y","")</f>
        <v/>
      </c>
      <c r="U32" s="9"/>
      <c r="V32" s="9"/>
      <c r="W32" s="9"/>
      <c r="X32" s="9" t="s">
        <v>54</v>
      </c>
      <c r="Y32" s="9" t="s">
        <v>54</v>
      </c>
      <c r="Z32" s="9"/>
      <c r="AA32" s="9"/>
      <c r="AB32" s="11" t="n">
        <v>40895095</v>
      </c>
      <c r="AC32" s="12" t="s">
        <v>430</v>
      </c>
      <c r="AD32" s="10" t="s">
        <v>431</v>
      </c>
    </row>
    <row r="33" customFormat="false" ht="55.5" hidden="false" customHeight="true" outlineLevel="0" collapsed="false">
      <c r="A33" s="5" t="n">
        <v>29</v>
      </c>
      <c r="B33" s="6" t="s">
        <v>432</v>
      </c>
      <c r="C33" s="5" t="n">
        <v>2026</v>
      </c>
      <c r="D33" s="6" t="s">
        <v>433</v>
      </c>
      <c r="E33" s="6" t="s">
        <v>434</v>
      </c>
      <c r="F33" s="6" t="s">
        <v>106</v>
      </c>
      <c r="G33" s="6" t="s">
        <v>435</v>
      </c>
      <c r="H33" s="6" t="s">
        <v>436</v>
      </c>
      <c r="I33" s="5" t="s">
        <v>77</v>
      </c>
      <c r="J33" s="6" t="s">
        <v>437</v>
      </c>
      <c r="K33" s="6" t="s">
        <v>79</v>
      </c>
      <c r="L33" s="6" t="s">
        <v>49</v>
      </c>
      <c r="M33" s="6" t="s">
        <v>438</v>
      </c>
      <c r="N33" s="6" t="s">
        <v>439</v>
      </c>
      <c r="O33" s="6" t="s">
        <v>440</v>
      </c>
      <c r="P33" s="6" t="s">
        <v>441</v>
      </c>
      <c r="Q33" s="6" t="s">
        <v>442</v>
      </c>
      <c r="R33" s="6" t="s">
        <v>443</v>
      </c>
      <c r="S33" s="6" t="s">
        <v>444</v>
      </c>
      <c r="T33" s="5" t="str">
        <f aca="false">IF(OR(U33="Y",V33="Y",W33="Y"),"Y","")</f>
        <v/>
      </c>
      <c r="U33" s="5"/>
      <c r="V33" s="5"/>
      <c r="W33" s="5"/>
      <c r="X33" s="5" t="s">
        <v>54</v>
      </c>
      <c r="Y33" s="5" t="s">
        <v>54</v>
      </c>
      <c r="Z33" s="5" t="s">
        <v>54</v>
      </c>
      <c r="AA33" s="5"/>
      <c r="AB33" s="7" t="n">
        <v>42189065</v>
      </c>
      <c r="AC33" s="8" t="s">
        <v>445</v>
      </c>
      <c r="AD33" s="6" t="s">
        <v>446</v>
      </c>
    </row>
    <row r="34" customFormat="false" ht="42.75" hidden="false" customHeight="true" outlineLevel="0" collapsed="false">
      <c r="A34" s="9" t="n">
        <v>30</v>
      </c>
      <c r="B34" s="10" t="s">
        <v>447</v>
      </c>
      <c r="C34" s="9" t="n">
        <v>2024</v>
      </c>
      <c r="D34" s="10" t="s">
        <v>448</v>
      </c>
      <c r="E34" s="10" t="s">
        <v>242</v>
      </c>
      <c r="F34" s="10" t="s">
        <v>449</v>
      </c>
      <c r="G34" s="10" t="s">
        <v>450</v>
      </c>
      <c r="H34" s="10" t="s">
        <v>451</v>
      </c>
      <c r="I34" s="13" t="n">
        <v>0.55</v>
      </c>
      <c r="J34" s="10" t="s">
        <v>452</v>
      </c>
      <c r="K34" s="10" t="s">
        <v>286</v>
      </c>
      <c r="L34" s="10" t="s">
        <v>49</v>
      </c>
      <c r="M34" s="10" t="s">
        <v>453</v>
      </c>
      <c r="N34" s="10" t="s">
        <v>49</v>
      </c>
      <c r="O34" s="10" t="s">
        <v>454</v>
      </c>
      <c r="P34" s="10" t="s">
        <v>455</v>
      </c>
      <c r="Q34" s="10" t="s">
        <v>456</v>
      </c>
      <c r="R34" s="10" t="s">
        <v>457</v>
      </c>
      <c r="S34" s="10" t="s">
        <v>429</v>
      </c>
      <c r="T34" s="9" t="str">
        <f aca="false">IF(OR(U34="Y",V34="Y",W34="Y"),"Y","")</f>
        <v/>
      </c>
      <c r="U34" s="9"/>
      <c r="V34" s="9"/>
      <c r="W34" s="9"/>
      <c r="X34" s="9" t="s">
        <v>54</v>
      </c>
      <c r="Y34" s="9"/>
      <c r="Z34" s="9"/>
      <c r="AA34" s="9"/>
      <c r="AB34" s="11" t="n">
        <v>37738616</v>
      </c>
      <c r="AC34" s="12" t="s">
        <v>458</v>
      </c>
      <c r="AD34" s="10" t="s">
        <v>459</v>
      </c>
    </row>
    <row r="35" customFormat="false" ht="42.75" hidden="false" customHeight="true" outlineLevel="0" collapsed="false">
      <c r="A35" s="5" t="n">
        <v>31</v>
      </c>
      <c r="B35" s="6" t="s">
        <v>460</v>
      </c>
      <c r="C35" s="5" t="n">
        <v>2026</v>
      </c>
      <c r="D35" s="6" t="s">
        <v>461</v>
      </c>
      <c r="E35" s="6" t="s">
        <v>242</v>
      </c>
      <c r="F35" s="6" t="s">
        <v>462</v>
      </c>
      <c r="G35" s="6" t="s">
        <v>463</v>
      </c>
      <c r="H35" s="6" t="s">
        <v>464</v>
      </c>
      <c r="I35" s="5" t="s">
        <v>77</v>
      </c>
      <c r="J35" s="6" t="s">
        <v>465</v>
      </c>
      <c r="K35" s="6" t="s">
        <v>408</v>
      </c>
      <c r="L35" s="6" t="s">
        <v>466</v>
      </c>
      <c r="M35" s="6" t="s">
        <v>467</v>
      </c>
      <c r="N35" s="6" t="s">
        <v>468</v>
      </c>
      <c r="O35" s="6" t="s">
        <v>469</v>
      </c>
      <c r="P35" s="6" t="s">
        <v>470</v>
      </c>
      <c r="Q35" s="6" t="s">
        <v>471</v>
      </c>
      <c r="R35" s="6" t="s">
        <v>472</v>
      </c>
      <c r="S35" s="6" t="s">
        <v>444</v>
      </c>
      <c r="T35" s="5" t="str">
        <f aca="false">IF(OR(U35="Y",V35="Y",W35="Y"),"Y","")</f>
        <v>Y</v>
      </c>
      <c r="U35" s="5"/>
      <c r="V35" s="5" t="s">
        <v>54</v>
      </c>
      <c r="W35" s="5"/>
      <c r="X35" s="5" t="s">
        <v>54</v>
      </c>
      <c r="Y35" s="5" t="s">
        <v>54</v>
      </c>
      <c r="Z35" s="5" t="s">
        <v>54</v>
      </c>
      <c r="AA35" s="5"/>
      <c r="AB35" s="7" t="n">
        <v>41065723</v>
      </c>
      <c r="AC35" s="8" t="s">
        <v>473</v>
      </c>
      <c r="AD35" s="6" t="s">
        <v>474</v>
      </c>
    </row>
    <row r="36" customFormat="false" ht="42.75" hidden="false" customHeight="true" outlineLevel="0" collapsed="false">
      <c r="A36" s="9" t="n">
        <v>32</v>
      </c>
      <c r="B36" s="10" t="s">
        <v>475</v>
      </c>
      <c r="C36" s="9" t="n">
        <v>2025</v>
      </c>
      <c r="D36" s="10" t="s">
        <v>476</v>
      </c>
      <c r="E36" s="10" t="s">
        <v>190</v>
      </c>
      <c r="F36" s="10" t="s">
        <v>41</v>
      </c>
      <c r="G36" s="10" t="s">
        <v>477</v>
      </c>
      <c r="H36" s="10" t="s">
        <v>478</v>
      </c>
      <c r="I36" s="13" t="n">
        <v>1</v>
      </c>
      <c r="J36" s="10" t="s">
        <v>193</v>
      </c>
      <c r="K36" s="10" t="s">
        <v>46</v>
      </c>
      <c r="L36" s="10" t="s">
        <v>479</v>
      </c>
      <c r="M36" s="10" t="s">
        <v>49</v>
      </c>
      <c r="N36" s="10" t="s">
        <v>49</v>
      </c>
      <c r="O36" s="10" t="s">
        <v>49</v>
      </c>
      <c r="P36" s="10" t="s">
        <v>480</v>
      </c>
      <c r="Q36" s="10" t="s">
        <v>481</v>
      </c>
      <c r="R36" s="10" t="s">
        <v>482</v>
      </c>
      <c r="S36" s="10" t="s">
        <v>483</v>
      </c>
      <c r="T36" s="9" t="str">
        <f aca="false">IF(OR(U36="Y",V36="Y",W36="Y"),"Y","")</f>
        <v/>
      </c>
      <c r="U36" s="9"/>
      <c r="V36" s="9"/>
      <c r="W36" s="9"/>
      <c r="X36" s="9"/>
      <c r="Y36" s="9"/>
      <c r="Z36" s="9"/>
      <c r="AA36" s="9" t="s">
        <v>54</v>
      </c>
      <c r="AB36" s="11" t="n">
        <v>39008822</v>
      </c>
      <c r="AC36" s="12" t="s">
        <v>484</v>
      </c>
      <c r="AD36" s="10" t="s">
        <v>485</v>
      </c>
    </row>
    <row r="37" customFormat="false" ht="42.75" hidden="false" customHeight="true" outlineLevel="0" collapsed="false">
      <c r="A37" s="5" t="n">
        <v>33</v>
      </c>
      <c r="B37" s="6" t="s">
        <v>486</v>
      </c>
      <c r="C37" s="5" t="n">
        <v>2026</v>
      </c>
      <c r="D37" s="6" t="s">
        <v>487</v>
      </c>
      <c r="E37" s="6" t="s">
        <v>323</v>
      </c>
      <c r="F37" s="6" t="s">
        <v>488</v>
      </c>
      <c r="G37" s="6" t="s">
        <v>489</v>
      </c>
      <c r="H37" s="6" t="s">
        <v>490</v>
      </c>
      <c r="I37" s="14" t="n">
        <v>1</v>
      </c>
      <c r="J37" s="6" t="s">
        <v>491</v>
      </c>
      <c r="K37" s="6" t="s">
        <v>286</v>
      </c>
      <c r="L37" s="6" t="s">
        <v>492</v>
      </c>
      <c r="M37" s="6" t="s">
        <v>49</v>
      </c>
      <c r="N37" s="6" t="s">
        <v>49</v>
      </c>
      <c r="O37" s="6" t="s">
        <v>49</v>
      </c>
      <c r="P37" s="6" t="s">
        <v>493</v>
      </c>
      <c r="Q37" s="6" t="s">
        <v>494</v>
      </c>
      <c r="R37" s="6" t="s">
        <v>495</v>
      </c>
      <c r="S37" s="6" t="s">
        <v>496</v>
      </c>
      <c r="T37" s="5" t="str">
        <f aca="false">IF(OR(U37="Y",V37="Y",W37="Y"),"Y","")</f>
        <v/>
      </c>
      <c r="U37" s="5"/>
      <c r="V37" s="5"/>
      <c r="W37" s="5"/>
      <c r="X37" s="5"/>
      <c r="Y37" s="5"/>
      <c r="Z37" s="5"/>
      <c r="AA37" s="5" t="s">
        <v>54</v>
      </c>
      <c r="AB37" s="7" t="n">
        <v>41005066</v>
      </c>
      <c r="AC37" s="8" t="s">
        <v>497</v>
      </c>
      <c r="AD37" s="6" t="s">
        <v>498</v>
      </c>
    </row>
    <row r="38" customFormat="false" ht="55.5" hidden="false" customHeight="true" outlineLevel="0" collapsed="false">
      <c r="A38" s="9" t="n">
        <v>34</v>
      </c>
      <c r="B38" s="10" t="s">
        <v>499</v>
      </c>
      <c r="C38" s="9" t="n">
        <v>2026</v>
      </c>
      <c r="D38" s="10" t="s">
        <v>500</v>
      </c>
      <c r="E38" s="10" t="s">
        <v>501</v>
      </c>
      <c r="F38" s="10" t="s">
        <v>502</v>
      </c>
      <c r="G38" s="10" t="s">
        <v>503</v>
      </c>
      <c r="H38" s="10" t="s">
        <v>504</v>
      </c>
      <c r="I38" s="13" t="n">
        <v>1</v>
      </c>
      <c r="J38" s="10" t="s">
        <v>505</v>
      </c>
      <c r="K38" s="10" t="s">
        <v>46</v>
      </c>
      <c r="L38" s="10" t="s">
        <v>49</v>
      </c>
      <c r="M38" s="10" t="s">
        <v>49</v>
      </c>
      <c r="N38" s="10" t="s">
        <v>506</v>
      </c>
      <c r="O38" s="10" t="s">
        <v>507</v>
      </c>
      <c r="P38" s="10" t="s">
        <v>508</v>
      </c>
      <c r="Q38" s="10" t="s">
        <v>509</v>
      </c>
      <c r="R38" s="10" t="s">
        <v>510</v>
      </c>
      <c r="S38" s="10" t="s">
        <v>483</v>
      </c>
      <c r="T38" s="9" t="str">
        <f aca="false">IF(OR(U38="Y",V38="Y",W38="Y"),"Y","")</f>
        <v/>
      </c>
      <c r="U38" s="9"/>
      <c r="V38" s="9"/>
      <c r="W38" s="9"/>
      <c r="X38" s="9"/>
      <c r="Y38" s="9" t="s">
        <v>54</v>
      </c>
      <c r="Z38" s="9" t="s">
        <v>54</v>
      </c>
      <c r="AA38" s="9" t="s">
        <v>54</v>
      </c>
      <c r="AB38" s="11" t="n">
        <v>41545627</v>
      </c>
      <c r="AC38" s="12" t="s">
        <v>511</v>
      </c>
      <c r="AD38" s="10" t="s">
        <v>512</v>
      </c>
    </row>
    <row r="39" customFormat="false" ht="42.75" hidden="false" customHeight="true" outlineLevel="0" collapsed="false">
      <c r="A39" s="5" t="n">
        <v>35</v>
      </c>
      <c r="B39" s="6" t="s">
        <v>513</v>
      </c>
      <c r="C39" s="5" t="n">
        <v>2022</v>
      </c>
      <c r="D39" s="6" t="s">
        <v>514</v>
      </c>
      <c r="E39" s="6" t="s">
        <v>515</v>
      </c>
      <c r="F39" s="6" t="s">
        <v>516</v>
      </c>
      <c r="G39" s="6" t="s">
        <v>517</v>
      </c>
      <c r="H39" s="6" t="s">
        <v>518</v>
      </c>
      <c r="I39" s="14" t="n">
        <v>1</v>
      </c>
      <c r="J39" s="6" t="s">
        <v>519</v>
      </c>
      <c r="K39" s="6" t="s">
        <v>286</v>
      </c>
      <c r="L39" s="6" t="s">
        <v>49</v>
      </c>
      <c r="M39" s="6" t="s">
        <v>520</v>
      </c>
      <c r="N39" s="6" t="s">
        <v>521</v>
      </c>
      <c r="O39" s="6" t="s">
        <v>522</v>
      </c>
      <c r="P39" s="6" t="s">
        <v>523</v>
      </c>
      <c r="Q39" s="6" t="s">
        <v>524</v>
      </c>
      <c r="R39" s="6" t="s">
        <v>525</v>
      </c>
      <c r="S39" s="6" t="s">
        <v>526</v>
      </c>
      <c r="T39" s="5" t="str">
        <f aca="false">IF(OR(U39="Y",V39="Y",W39="Y"),"Y","")</f>
        <v/>
      </c>
      <c r="U39" s="5"/>
      <c r="V39" s="5"/>
      <c r="W39" s="5"/>
      <c r="X39" s="5" t="s">
        <v>54</v>
      </c>
      <c r="Y39" s="5" t="s">
        <v>54</v>
      </c>
      <c r="Z39" s="5" t="s">
        <v>54</v>
      </c>
      <c r="AA39" s="5" t="s">
        <v>54</v>
      </c>
      <c r="AB39" s="7" t="n">
        <v>35422659</v>
      </c>
      <c r="AC39" s="8" t="s">
        <v>527</v>
      </c>
      <c r="AD39" s="6" t="s">
        <v>528</v>
      </c>
    </row>
    <row r="40" customFormat="false" ht="42.75" hidden="false" customHeight="true" outlineLevel="0" collapsed="false">
      <c r="A40" s="9" t="n">
        <v>36</v>
      </c>
      <c r="B40" s="10" t="s">
        <v>529</v>
      </c>
      <c r="C40" s="9" t="n">
        <v>2026</v>
      </c>
      <c r="D40" s="10" t="s">
        <v>530</v>
      </c>
      <c r="E40" s="10" t="s">
        <v>177</v>
      </c>
      <c r="F40" s="10" t="s">
        <v>531</v>
      </c>
      <c r="G40" s="10" t="s">
        <v>532</v>
      </c>
      <c r="H40" s="10" t="s">
        <v>533</v>
      </c>
      <c r="I40" s="13" t="n">
        <v>1</v>
      </c>
      <c r="J40" s="10" t="s">
        <v>79</v>
      </c>
      <c r="K40" s="10" t="s">
        <v>79</v>
      </c>
      <c r="L40" s="10" t="s">
        <v>534</v>
      </c>
      <c r="M40" s="10" t="s">
        <v>535</v>
      </c>
      <c r="N40" s="10" t="s">
        <v>49</v>
      </c>
      <c r="O40" s="10" t="s">
        <v>536</v>
      </c>
      <c r="P40" s="10" t="s">
        <v>537</v>
      </c>
      <c r="Q40" s="10" t="s">
        <v>171</v>
      </c>
      <c r="R40" s="10" t="s">
        <v>538</v>
      </c>
      <c r="S40" s="10" t="s">
        <v>496</v>
      </c>
      <c r="T40" s="9" t="str">
        <f aca="false">IF(OR(U40="Y",V40="Y",W40="Y"),"Y","")</f>
        <v>Y</v>
      </c>
      <c r="U40" s="9" t="s">
        <v>54</v>
      </c>
      <c r="V40" s="9" t="s">
        <v>54</v>
      </c>
      <c r="W40" s="9" t="s">
        <v>54</v>
      </c>
      <c r="X40" s="9" t="s">
        <v>54</v>
      </c>
      <c r="Y40" s="9"/>
      <c r="Z40" s="9"/>
      <c r="AA40" s="9" t="s">
        <v>54</v>
      </c>
      <c r="AB40" s="11" t="n">
        <v>42569180</v>
      </c>
      <c r="AC40" s="12" t="s">
        <v>539</v>
      </c>
      <c r="AD40" s="10" t="s">
        <v>540</v>
      </c>
    </row>
    <row r="41" customFormat="false" ht="55.5" hidden="false" customHeight="true" outlineLevel="0" collapsed="false">
      <c r="A41" s="5" t="n">
        <v>37</v>
      </c>
      <c r="B41" s="6" t="s">
        <v>541</v>
      </c>
      <c r="C41" s="5" t="n">
        <v>2026</v>
      </c>
      <c r="D41" s="6" t="s">
        <v>542</v>
      </c>
      <c r="E41" s="6" t="s">
        <v>543</v>
      </c>
      <c r="F41" s="6" t="s">
        <v>122</v>
      </c>
      <c r="G41" s="6" t="s">
        <v>544</v>
      </c>
      <c r="H41" s="6" t="s">
        <v>545</v>
      </c>
      <c r="I41" s="5" t="s">
        <v>546</v>
      </c>
      <c r="J41" s="6" t="s">
        <v>547</v>
      </c>
      <c r="K41" s="6" t="s">
        <v>408</v>
      </c>
      <c r="L41" s="6" t="s">
        <v>548</v>
      </c>
      <c r="M41" s="6" t="s">
        <v>549</v>
      </c>
      <c r="N41" s="6" t="s">
        <v>550</v>
      </c>
      <c r="O41" s="6" t="s">
        <v>551</v>
      </c>
      <c r="P41" s="6" t="s">
        <v>552</v>
      </c>
      <c r="Q41" s="6" t="s">
        <v>553</v>
      </c>
      <c r="R41" s="6" t="s">
        <v>554</v>
      </c>
      <c r="S41" s="6" t="s">
        <v>555</v>
      </c>
      <c r="T41" s="5" t="str">
        <f aca="false">IF(OR(U41="Y",V41="Y",W41="Y"),"Y","")</f>
        <v>Y</v>
      </c>
      <c r="U41" s="5" t="s">
        <v>54</v>
      </c>
      <c r="V41" s="5"/>
      <c r="W41" s="5"/>
      <c r="X41" s="5"/>
      <c r="Y41" s="5" t="s">
        <v>54</v>
      </c>
      <c r="Z41" s="5"/>
      <c r="AA41" s="5"/>
      <c r="AB41" s="7" t="n">
        <v>41596000</v>
      </c>
      <c r="AC41" s="8" t="s">
        <v>556</v>
      </c>
      <c r="AD41" s="6" t="s">
        <v>557</v>
      </c>
    </row>
    <row r="42" customFormat="false" ht="55.5" hidden="false" customHeight="true" outlineLevel="0" collapsed="false">
      <c r="A42" s="9" t="n">
        <v>38</v>
      </c>
      <c r="B42" s="10" t="s">
        <v>558</v>
      </c>
      <c r="C42" s="9" t="n">
        <v>2025</v>
      </c>
      <c r="D42" s="10" t="s">
        <v>559</v>
      </c>
      <c r="E42" s="10" t="s">
        <v>560</v>
      </c>
      <c r="F42" s="10" t="s">
        <v>106</v>
      </c>
      <c r="G42" s="10" t="s">
        <v>561</v>
      </c>
      <c r="H42" s="10" t="s">
        <v>562</v>
      </c>
      <c r="I42" s="9" t="s">
        <v>77</v>
      </c>
      <c r="J42" s="10" t="s">
        <v>563</v>
      </c>
      <c r="K42" s="10" t="s">
        <v>286</v>
      </c>
      <c r="L42" s="10" t="s">
        <v>49</v>
      </c>
      <c r="M42" s="10" t="s">
        <v>49</v>
      </c>
      <c r="N42" s="10" t="s">
        <v>564</v>
      </c>
      <c r="O42" s="10" t="s">
        <v>565</v>
      </c>
      <c r="P42" s="10" t="s">
        <v>566</v>
      </c>
      <c r="Q42" s="10" t="s">
        <v>567</v>
      </c>
      <c r="R42" s="10" t="s">
        <v>568</v>
      </c>
      <c r="S42" s="10" t="s">
        <v>569</v>
      </c>
      <c r="T42" s="9" t="str">
        <f aca="false">IF(OR(U42="Y",V42="Y",W42="Y"),"Y","")</f>
        <v/>
      </c>
      <c r="U42" s="9"/>
      <c r="V42" s="9"/>
      <c r="W42" s="9"/>
      <c r="X42" s="9"/>
      <c r="Y42" s="9" t="s">
        <v>54</v>
      </c>
      <c r="Z42" s="9" t="s">
        <v>54</v>
      </c>
      <c r="AA42" s="9"/>
      <c r="AB42" s="11" t="n">
        <v>39788069</v>
      </c>
      <c r="AC42" s="12" t="s">
        <v>570</v>
      </c>
      <c r="AD42" s="10" t="s">
        <v>571</v>
      </c>
    </row>
    <row r="43" customFormat="false" ht="55.5" hidden="false" customHeight="true" outlineLevel="0" collapsed="false">
      <c r="A43" s="5" t="n">
        <v>39</v>
      </c>
      <c r="B43" s="6" t="s">
        <v>572</v>
      </c>
      <c r="C43" s="5" t="n">
        <v>2022</v>
      </c>
      <c r="D43" s="6" t="s">
        <v>573</v>
      </c>
      <c r="E43" s="6" t="s">
        <v>574</v>
      </c>
      <c r="F43" s="6" t="s">
        <v>575</v>
      </c>
      <c r="G43" s="6" t="s">
        <v>576</v>
      </c>
      <c r="H43" s="6" t="s">
        <v>577</v>
      </c>
      <c r="I43" s="14" t="n">
        <v>0.490566037735849</v>
      </c>
      <c r="J43" s="6" t="s">
        <v>578</v>
      </c>
      <c r="K43" s="6" t="s">
        <v>579</v>
      </c>
      <c r="L43" s="6" t="s">
        <v>49</v>
      </c>
      <c r="M43" s="6" t="s">
        <v>580</v>
      </c>
      <c r="N43" s="6" t="s">
        <v>581</v>
      </c>
      <c r="O43" s="6" t="s">
        <v>582</v>
      </c>
      <c r="P43" s="6" t="s">
        <v>583</v>
      </c>
      <c r="Q43" s="6" t="s">
        <v>584</v>
      </c>
      <c r="R43" s="6" t="s">
        <v>585</v>
      </c>
      <c r="S43" s="6" t="s">
        <v>555</v>
      </c>
      <c r="T43" s="5" t="str">
        <f aca="false">IF(OR(U43="Y",V43="Y",W43="Y"),"Y","")</f>
        <v/>
      </c>
      <c r="U43" s="5"/>
      <c r="V43" s="5"/>
      <c r="W43" s="5"/>
      <c r="X43" s="5" t="s">
        <v>54</v>
      </c>
      <c r="Y43" s="5" t="s">
        <v>54</v>
      </c>
      <c r="Z43" s="5" t="s">
        <v>54</v>
      </c>
      <c r="AA43" s="5"/>
      <c r="AB43" s="7" t="n">
        <v>36016077</v>
      </c>
      <c r="AC43" s="8" t="s">
        <v>586</v>
      </c>
      <c r="AD43" s="6" t="s">
        <v>587</v>
      </c>
    </row>
    <row r="44" customFormat="false" ht="55.5" hidden="false" customHeight="true" outlineLevel="0" collapsed="false">
      <c r="A44" s="9" t="n">
        <v>40</v>
      </c>
      <c r="B44" s="10" t="s">
        <v>588</v>
      </c>
      <c r="C44" s="9" t="n">
        <v>2021</v>
      </c>
      <c r="D44" s="10" t="s">
        <v>589</v>
      </c>
      <c r="E44" s="10" t="s">
        <v>242</v>
      </c>
      <c r="F44" s="10" t="s">
        <v>106</v>
      </c>
      <c r="G44" s="10" t="s">
        <v>296</v>
      </c>
      <c r="H44" s="10" t="s">
        <v>590</v>
      </c>
      <c r="I44" s="13" t="n">
        <v>0.647058823529412</v>
      </c>
      <c r="J44" s="10" t="s">
        <v>591</v>
      </c>
      <c r="K44" s="10" t="s">
        <v>579</v>
      </c>
      <c r="L44" s="10" t="s">
        <v>49</v>
      </c>
      <c r="M44" s="10" t="s">
        <v>592</v>
      </c>
      <c r="N44" s="10" t="s">
        <v>49</v>
      </c>
      <c r="O44" s="10" t="s">
        <v>593</v>
      </c>
      <c r="P44" s="10" t="s">
        <v>594</v>
      </c>
      <c r="Q44" s="10" t="s">
        <v>595</v>
      </c>
      <c r="R44" s="10" t="s">
        <v>596</v>
      </c>
      <c r="S44" s="10" t="s">
        <v>555</v>
      </c>
      <c r="T44" s="9" t="str">
        <f aca="false">IF(OR(U44="Y",V44="Y",W44="Y"),"Y","")</f>
        <v/>
      </c>
      <c r="U44" s="9"/>
      <c r="V44" s="9"/>
      <c r="W44" s="9"/>
      <c r="X44" s="9" t="s">
        <v>54</v>
      </c>
      <c r="Y44" s="9"/>
      <c r="Z44" s="9" t="s">
        <v>54</v>
      </c>
      <c r="AA44" s="9"/>
      <c r="AB44" s="11" t="n">
        <v>33378539</v>
      </c>
      <c r="AC44" s="12" t="s">
        <v>597</v>
      </c>
      <c r="AD44" s="10" t="s">
        <v>598</v>
      </c>
    </row>
    <row r="45" customFormat="false" ht="42.75" hidden="false" customHeight="true" outlineLevel="0" collapsed="false">
      <c r="A45" s="5" t="n">
        <v>41</v>
      </c>
      <c r="B45" s="6" t="s">
        <v>599</v>
      </c>
      <c r="C45" s="5" t="n">
        <v>2025</v>
      </c>
      <c r="D45" s="6" t="s">
        <v>600</v>
      </c>
      <c r="E45" s="6" t="s">
        <v>601</v>
      </c>
      <c r="F45" s="6" t="s">
        <v>106</v>
      </c>
      <c r="G45" s="6" t="s">
        <v>107</v>
      </c>
      <c r="H45" s="6" t="s">
        <v>602</v>
      </c>
      <c r="I45" s="14" t="n">
        <v>0.461538461538462</v>
      </c>
      <c r="J45" s="6" t="s">
        <v>603</v>
      </c>
      <c r="K45" s="6" t="s">
        <v>579</v>
      </c>
      <c r="L45" s="6" t="s">
        <v>49</v>
      </c>
      <c r="M45" s="6" t="s">
        <v>49</v>
      </c>
      <c r="N45" s="6" t="s">
        <v>604</v>
      </c>
      <c r="O45" s="6" t="s">
        <v>605</v>
      </c>
      <c r="P45" s="6" t="s">
        <v>606</v>
      </c>
      <c r="Q45" s="6" t="s">
        <v>607</v>
      </c>
      <c r="R45" s="6" t="s">
        <v>608</v>
      </c>
      <c r="S45" s="6" t="s">
        <v>555</v>
      </c>
      <c r="T45" s="5" t="str">
        <f aca="false">IF(OR(U45="Y",V45="Y",W45="Y"),"Y","")</f>
        <v/>
      </c>
      <c r="U45" s="5"/>
      <c r="V45" s="5"/>
      <c r="W45" s="5"/>
      <c r="X45" s="5"/>
      <c r="Y45" s="5" t="s">
        <v>54</v>
      </c>
      <c r="Z45" s="5" t="s">
        <v>54</v>
      </c>
      <c r="AA45" s="5"/>
      <c r="AB45" s="7" t="n">
        <v>40834291</v>
      </c>
      <c r="AC45" s="8" t="s">
        <v>609</v>
      </c>
      <c r="AD45" s="6" t="s">
        <v>610</v>
      </c>
    </row>
    <row r="46" customFormat="false" ht="55.5" hidden="false" customHeight="true" outlineLevel="0" collapsed="false">
      <c r="A46" s="9" t="n">
        <v>42</v>
      </c>
      <c r="B46" s="10" t="s">
        <v>611</v>
      </c>
      <c r="C46" s="9" t="n">
        <v>2021</v>
      </c>
      <c r="D46" s="10" t="s">
        <v>612</v>
      </c>
      <c r="E46" s="10" t="s">
        <v>613</v>
      </c>
      <c r="F46" s="10" t="s">
        <v>614</v>
      </c>
      <c r="G46" s="10" t="s">
        <v>615</v>
      </c>
      <c r="H46" s="10" t="s">
        <v>616</v>
      </c>
      <c r="I46" s="13" t="n">
        <v>0.686868686868687</v>
      </c>
      <c r="J46" s="10" t="s">
        <v>617</v>
      </c>
      <c r="K46" s="10" t="s">
        <v>286</v>
      </c>
      <c r="L46" s="10" t="s">
        <v>49</v>
      </c>
      <c r="M46" s="10" t="s">
        <v>49</v>
      </c>
      <c r="N46" s="10" t="s">
        <v>618</v>
      </c>
      <c r="O46" s="10" t="s">
        <v>619</v>
      </c>
      <c r="P46" s="10" t="s">
        <v>620</v>
      </c>
      <c r="Q46" s="10" t="s">
        <v>621</v>
      </c>
      <c r="R46" s="10" t="s">
        <v>622</v>
      </c>
      <c r="S46" s="10" t="s">
        <v>555</v>
      </c>
      <c r="T46" s="9" t="str">
        <f aca="false">IF(OR(U46="Y",V46="Y",W46="Y"),"Y","")</f>
        <v/>
      </c>
      <c r="U46" s="9"/>
      <c r="V46" s="9"/>
      <c r="W46" s="9"/>
      <c r="X46" s="9"/>
      <c r="Y46" s="9" t="s">
        <v>54</v>
      </c>
      <c r="Z46" s="9" t="s">
        <v>54</v>
      </c>
      <c r="AA46" s="9"/>
      <c r="AB46" s="11" t="n">
        <v>33529156</v>
      </c>
      <c r="AC46" s="12" t="s">
        <v>623</v>
      </c>
      <c r="AD46" s="10" t="s">
        <v>624</v>
      </c>
    </row>
  </sheetData>
  <autoFilter ref="A4:AD46"/>
  <mergeCells count="6">
    <mergeCell ref="A3:E3"/>
    <mergeCell ref="F3:K3"/>
    <mergeCell ref="L3:O3"/>
    <mergeCell ref="P3:S3"/>
    <mergeCell ref="T3:AA3"/>
    <mergeCell ref="AB3:AD3"/>
  </mergeCells>
  <conditionalFormatting sqref="T5:AA46">
    <cfRule type="cellIs" priority="2" operator="equal" aboveAverage="0" equalAverage="0" bottom="0" percent="0" rank="0" text="" dxfId="7">
      <formula>"Y"</formula>
    </cfRule>
  </conditionalFormatting>
  <hyperlinks>
    <hyperlink ref="AB5" r:id="rId1" display="https://pubmed.ncbi.nlm.nih.gov/38788519/"/>
    <hyperlink ref="AC5" r:id="rId2" display="10.1016/j.smrv.2024.101953"/>
    <hyperlink ref="AB6" r:id="rId3" display="https://pubmed.ncbi.nlm.nih.gov/42581816/"/>
    <hyperlink ref="AC6" r:id="rId4" display="10.1093/cvr/cvag169"/>
    <hyperlink ref="AB7" r:id="rId5" display="https://pubmed.ncbi.nlm.nih.gov/34511160/"/>
    <hyperlink ref="AC7" r:id="rId6" display="10.1017/S0007114521003597"/>
    <hyperlink ref="AB8" r:id="rId7" display="https://pubmed.ncbi.nlm.nih.gov/41305630/"/>
    <hyperlink ref="AC8" r:id="rId8" display="10.3390/nu17223580"/>
    <hyperlink ref="AB9" r:id="rId9" display="https://pubmed.ncbi.nlm.nih.gov/34017207/"/>
    <hyperlink ref="AC9" r:id="rId10" display="10.2147/NSS.S301113"/>
    <hyperlink ref="AB10" r:id="rId11" display="https://pubmed.ncbi.nlm.nih.gov/41975458/"/>
    <hyperlink ref="AC10" r:id="rId12" display="10.1186/s40101-026-00430-0"/>
    <hyperlink ref="AB11" r:id="rId13" display="https://pubmed.ncbi.nlm.nih.gov/41232466/"/>
    <hyperlink ref="AC11" r:id="rId14" display="10.1016/j.actpsy.2025.105900"/>
    <hyperlink ref="AB12" r:id="rId15" display="https://pubmed.ncbi.nlm.nih.gov/35534102/"/>
    <hyperlink ref="AC12" r:id="rId16" display="10.1016/j.jneb.2022.02.006"/>
    <hyperlink ref="AB13" r:id="rId17" display="https://pubmed.ncbi.nlm.nih.gov/37375582/"/>
    <hyperlink ref="AC13" r:id="rId18" display="10.3390/nu15122678"/>
    <hyperlink ref="AB14" r:id="rId19" display="https://pubmed.ncbi.nlm.nih.gov/39144285/"/>
    <hyperlink ref="AC14" r:id="rId20" display="10.3389/fnut.2024.1419811"/>
    <hyperlink ref="AB15" r:id="rId21" display="https://pubmed.ncbi.nlm.nih.gov/40498475/"/>
    <hyperlink ref="AC15" r:id="rId22" display="10.1093/nutrit/nuaf051"/>
    <hyperlink ref="AB16" r:id="rId23" display="https://pubmed.ncbi.nlm.nih.gov/41202521/"/>
    <hyperlink ref="AC16" r:id="rId24" display="10.1016/j.smrv.2025.102193"/>
    <hyperlink ref="AB17" r:id="rId25" display="https://pubmed.ncbi.nlm.nih.gov/41208478/"/>
    <hyperlink ref="AC17" r:id="rId26" display="10.1080/07420528.2025.2577859"/>
    <hyperlink ref="AB18" r:id="rId27" display="https://pubmed.ncbi.nlm.nih.gov/37559551/"/>
    <hyperlink ref="AC18" r:id="rId28" display="10.5664/jcsm.10754"/>
    <hyperlink ref="AB19" r:id="rId29" display="https://pubmed.ncbi.nlm.nih.gov/40241264/"/>
    <hyperlink ref="AC19" r:id="rId30" display="10.1093/sleep/zsaf089"/>
    <hyperlink ref="AB20" r:id="rId31" display="https://pubmed.ncbi.nlm.nih.gov/42272904/"/>
    <hyperlink ref="AC20" r:id="rId32" display="10.3389/fnut.2026.1823259"/>
    <hyperlink ref="AB21" r:id="rId33" display="https://pubmed.ncbi.nlm.nih.gov/39458522/"/>
    <hyperlink ref="AC21" r:id="rId34" display="10.3390/nu16203528"/>
    <hyperlink ref="AB22" r:id="rId35" display="https://pubmed.ncbi.nlm.nih.gov/39182275/"/>
    <hyperlink ref="AC22" r:id="rId36" display="10.1016/j.sleep.2024.08.012"/>
    <hyperlink ref="AB23" r:id="rId37" display="https://pubmed.ncbi.nlm.nih.gov/37083715/"/>
    <hyperlink ref="AC23" r:id="rId38" display="10.1093/sleep/zsad123"/>
    <hyperlink ref="AB24" r:id="rId39" display="https://pubmed.ncbi.nlm.nih.gov/37409467/"/>
    <hyperlink ref="AC24" r:id="rId40" display="10.5664/jcsm.10696"/>
    <hyperlink ref="AB25" r:id="rId41" display="https://pubmed.ncbi.nlm.nih.gov/37562755/"/>
    <hyperlink ref="AC25" r:id="rId42" display="10.1016/j.appet.2023.106998"/>
    <hyperlink ref="AB26" r:id="rId43" display="https://pubmed.ncbi.nlm.nih.gov/40832902/"/>
    <hyperlink ref="AC26" r:id="rId44" display="10.1093/sleep/zsaf247"/>
    <hyperlink ref="AB27" r:id="rId45" display="https://pubmed.ncbi.nlm.nih.gov/41674465/"/>
    <hyperlink ref="AC27" r:id="rId46" display="10.1161/ATVBAHA.125.323355"/>
    <hyperlink ref="AB28" r:id="rId47" display="https://pubmed.ncbi.nlm.nih.gov/40199860/"/>
    <hyperlink ref="AC28" r:id="rId48" display="10.1038/s41467-025-57846-y"/>
    <hyperlink ref="AB29" r:id="rId49" display="https://pubmed.ncbi.nlm.nih.gov/36095195/"/>
    <hyperlink ref="AC29" r:id="rId50" display="10.1073/pnas.2206348119"/>
    <hyperlink ref="AB30" r:id="rId51" display="https://pubmed.ncbi.nlm.nih.gov/33859841/"/>
    <hyperlink ref="AC30" r:id="rId52" display="10.1155/2021/6610455"/>
    <hyperlink ref="AB31" r:id="rId53" display="https://pubmed.ncbi.nlm.nih.gov/40797465/"/>
    <hyperlink ref="AC31" r:id="rId54" display="10.1097/MD.0000000000043800"/>
    <hyperlink ref="AB32" r:id="rId55" display="https://pubmed.ncbi.nlm.nih.gov/40895095/"/>
    <hyperlink ref="AC32" r:id="rId56" display="10.3389/fneur.2025.1556784"/>
    <hyperlink ref="AB33" r:id="rId57" display="https://pubmed.ncbi.nlm.nih.gov/42189065/"/>
    <hyperlink ref="AC33" r:id="rId58" display="10.1111/jce.70358"/>
    <hyperlink ref="AB34" r:id="rId59" display="https://pubmed.ncbi.nlm.nih.gov/37738616/"/>
    <hyperlink ref="AC34" r:id="rId60" display="10.1093/sleep/zsad253"/>
    <hyperlink ref="AB35" r:id="rId61" display="https://pubmed.ncbi.nlm.nih.gov/41065723/"/>
    <hyperlink ref="AC35" r:id="rId62" display="10.1093/sleep/zsaf318"/>
    <hyperlink ref="AB36" r:id="rId63" display="https://pubmed.ncbi.nlm.nih.gov/39008822/"/>
    <hyperlink ref="AC36" r:id="rId64" display="10.1093/nutrit/nuae093"/>
    <hyperlink ref="AB37" r:id="rId65" display="https://pubmed.ncbi.nlm.nih.gov/41005066/"/>
    <hyperlink ref="AC37" r:id="rId66" display="10.1016/j.appet.2025.108314"/>
    <hyperlink ref="AB38" r:id="rId67" display="https://pubmed.ncbi.nlm.nih.gov/41545627/"/>
    <hyperlink ref="AC38" r:id="rId68" display="10.1007/s40279-025-02388-y"/>
    <hyperlink ref="AB39" r:id="rId69" display="https://pubmed.ncbi.nlm.nih.gov/35422659/"/>
    <hyperlink ref="AC39" r:id="rId70" display="10.2147/ijwh.s341917"/>
    <hyperlink ref="AB40" r:id="rId71" display="https://pubmed.ncbi.nlm.nih.gov/42569180/"/>
    <hyperlink ref="AC40" r:id="rId72" display="10.3389/fnut.2026.1875559"/>
    <hyperlink ref="AB41" r:id="rId73" display="https://pubmed.ncbi.nlm.nih.gov/41596000/"/>
    <hyperlink ref="AC41" r:id="rId74" display="10.3390/bioengineering13010069"/>
    <hyperlink ref="AB42" r:id="rId75" display="https://pubmed.ncbi.nlm.nih.gov/39788069/"/>
    <hyperlink ref="AC42" r:id="rId76" display="10.1016/j.amjsurg.2024.116175"/>
    <hyperlink ref="AB43" r:id="rId77" display="https://pubmed.ncbi.nlm.nih.gov/36016077/"/>
    <hyperlink ref="AC43" r:id="rId78" display="10.3390/s22166317"/>
    <hyperlink ref="AB44" r:id="rId79" display="https://pubmed.ncbi.nlm.nih.gov/33378539/"/>
    <hyperlink ref="AC44" r:id="rId80" display="10.1093/sleep/zsaa291"/>
    <hyperlink ref="AB45" r:id="rId81" display="https://pubmed.ncbi.nlm.nih.gov/40834291/"/>
    <hyperlink ref="AC45" r:id="rId82" display="10.14814/phy2.70527"/>
    <hyperlink ref="AB46" r:id="rId83" display="https://pubmed.ncbi.nlm.nih.gov/33529156/"/>
    <hyperlink ref="AC46" r:id="rId84" display="10.2196/26107"/>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8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2026-10-12T18:39:44Z</dcterms:created>
  <dc:creator/>
  <dc:description/>
  <dc:language>en-US</dc:language>
  <cp:lastModifiedBy/>
  <dcterms:modified xsi:type="dcterms:W3CDTF">2026-10-12T18:39:44Z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